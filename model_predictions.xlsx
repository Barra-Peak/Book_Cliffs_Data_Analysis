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arrapeak/Desktop/"/>
    </mc:Choice>
  </mc:AlternateContent>
  <xr:revisionPtr revIDLastSave="0" documentId="13_ncr:1_{B17A9A65-56F3-714D-9A8D-B685B483D20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9" i="1" l="1"/>
  <c r="Z121" i="1"/>
  <c r="Z120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W121" i="1"/>
  <c r="W120" i="1"/>
  <c r="V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3" i="1"/>
  <c r="W44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9" i="1"/>
  <c r="W10" i="1"/>
  <c r="W8" i="1"/>
  <c r="W7" i="1"/>
  <c r="W6" i="1"/>
  <c r="W5" i="1"/>
  <c r="W4" i="1"/>
  <c r="W3" i="1"/>
  <c r="W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Q37" i="1"/>
  <c r="T25" i="1"/>
  <c r="T13" i="1"/>
  <c r="Q36" i="1"/>
  <c r="Q35" i="1"/>
  <c r="Q34" i="1"/>
  <c r="Q33" i="1"/>
  <c r="Q32" i="1"/>
  <c r="Q31" i="1"/>
  <c r="Q30" i="1"/>
  <c r="Q29" i="1"/>
  <c r="Q28" i="1"/>
  <c r="Q27" i="1"/>
  <c r="Q26" i="1"/>
  <c r="T24" i="1"/>
  <c r="T23" i="1"/>
  <c r="T22" i="1"/>
  <c r="T21" i="1"/>
  <c r="T20" i="1"/>
  <c r="T19" i="1"/>
  <c r="T18" i="1"/>
  <c r="T17" i="1"/>
  <c r="T16" i="1"/>
  <c r="T15" i="1"/>
  <c r="T14" i="1"/>
  <c r="T12" i="1"/>
  <c r="T11" i="1"/>
  <c r="T10" i="1"/>
  <c r="T9" i="1"/>
  <c r="T8" i="1"/>
  <c r="T7" i="1"/>
  <c r="T6" i="1"/>
  <c r="T5" i="1"/>
  <c r="T4" i="1"/>
  <c r="T3" i="1"/>
  <c r="T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4" i="1"/>
  <c r="Q6" i="1"/>
  <c r="Q7" i="1"/>
  <c r="Q8" i="1"/>
  <c r="Q5" i="1"/>
  <c r="Q3" i="1"/>
  <c r="Q2" i="1"/>
  <c r="I13" i="1" l="1"/>
  <c r="I49" i="1"/>
  <c r="I37" i="1"/>
  <c r="I73" i="1"/>
  <c r="I61" i="1"/>
  <c r="I97" i="1"/>
  <c r="I85" i="1"/>
  <c r="I121" i="1"/>
  <c r="I109" i="1"/>
  <c r="I117" i="1"/>
  <c r="I105" i="1"/>
  <c r="I22" i="1"/>
  <c r="I10" i="1"/>
  <c r="I46" i="1"/>
  <c r="I34" i="1"/>
  <c r="I70" i="1"/>
  <c r="I58" i="1"/>
  <c r="I94" i="1"/>
  <c r="I82" i="1"/>
  <c r="I118" i="1"/>
  <c r="I106" i="1"/>
  <c r="I23" i="1"/>
  <c r="I11" i="1"/>
  <c r="I47" i="1"/>
  <c r="I35" i="1"/>
  <c r="I71" i="1"/>
  <c r="I59" i="1"/>
  <c r="I95" i="1"/>
  <c r="I83" i="1"/>
  <c r="I119" i="1"/>
  <c r="I107" i="1"/>
  <c r="I24" i="1"/>
  <c r="I12" i="1"/>
  <c r="I48" i="1"/>
  <c r="I36" i="1"/>
  <c r="I72" i="1"/>
  <c r="I60" i="1"/>
  <c r="I96" i="1"/>
  <c r="I84" i="1"/>
  <c r="I120" i="1"/>
  <c r="I108" i="1"/>
  <c r="I25" i="1"/>
  <c r="I6" i="1"/>
  <c r="I42" i="1"/>
  <c r="I30" i="1"/>
  <c r="I66" i="1"/>
  <c r="I54" i="1"/>
  <c r="I90" i="1"/>
  <c r="I78" i="1"/>
  <c r="I114" i="1"/>
  <c r="I102" i="1"/>
  <c r="I19" i="1"/>
  <c r="I7" i="1"/>
  <c r="I43" i="1"/>
  <c r="I31" i="1"/>
  <c r="I67" i="1"/>
  <c r="I55" i="1"/>
  <c r="I91" i="1"/>
  <c r="I79" i="1"/>
  <c r="I115" i="1"/>
  <c r="I103" i="1"/>
  <c r="I20" i="1"/>
  <c r="I8" i="1"/>
  <c r="I44" i="1"/>
  <c r="I32" i="1"/>
  <c r="I68" i="1"/>
  <c r="I56" i="1"/>
  <c r="I92" i="1"/>
  <c r="I80" i="1"/>
  <c r="I116" i="1"/>
  <c r="I104" i="1"/>
  <c r="I21" i="1"/>
  <c r="I9" i="1"/>
  <c r="I45" i="1"/>
  <c r="I33" i="1"/>
  <c r="I69" i="1"/>
  <c r="I57" i="1"/>
  <c r="I93" i="1"/>
  <c r="I81" i="1"/>
  <c r="I18" i="1"/>
  <c r="I2" i="1"/>
  <c r="I38" i="1"/>
  <c r="I26" i="1"/>
  <c r="I62" i="1"/>
  <c r="I50" i="1"/>
  <c r="I86" i="1"/>
  <c r="I74" i="1"/>
  <c r="I110" i="1"/>
  <c r="I98" i="1"/>
  <c r="I15" i="1"/>
  <c r="I3" i="1"/>
  <c r="I39" i="1"/>
  <c r="I27" i="1"/>
  <c r="I63" i="1"/>
  <c r="I51" i="1"/>
  <c r="I87" i="1"/>
  <c r="I75" i="1"/>
  <c r="I111" i="1"/>
  <c r="I99" i="1"/>
  <c r="I16" i="1"/>
  <c r="I4" i="1"/>
  <c r="I40" i="1"/>
  <c r="I28" i="1"/>
  <c r="I64" i="1"/>
  <c r="I52" i="1"/>
  <c r="I88" i="1"/>
  <c r="I76" i="1"/>
  <c r="I112" i="1"/>
  <c r="I100" i="1"/>
  <c r="I17" i="1"/>
  <c r="I5" i="1"/>
  <c r="I41" i="1"/>
  <c r="I29" i="1"/>
  <c r="I65" i="1"/>
  <c r="I53" i="1"/>
  <c r="I89" i="1"/>
  <c r="I77" i="1"/>
  <c r="I113" i="1"/>
  <c r="I101" i="1"/>
  <c r="F61" i="1"/>
  <c r="F97" i="1"/>
  <c r="F85" i="1"/>
  <c r="F121" i="1"/>
  <c r="F109" i="1"/>
  <c r="F34" i="1"/>
  <c r="F70" i="1"/>
  <c r="F58" i="1"/>
  <c r="F94" i="1"/>
  <c r="F82" i="1"/>
  <c r="F118" i="1"/>
  <c r="F106" i="1"/>
  <c r="F23" i="1"/>
  <c r="F11" i="1"/>
  <c r="F47" i="1"/>
  <c r="F35" i="1"/>
  <c r="F71" i="1"/>
  <c r="F59" i="1"/>
  <c r="F95" i="1"/>
  <c r="F83" i="1"/>
  <c r="F119" i="1"/>
  <c r="F107" i="1"/>
  <c r="F24" i="1"/>
  <c r="F12" i="1"/>
  <c r="F48" i="1"/>
  <c r="F36" i="1"/>
  <c r="F72" i="1"/>
  <c r="F60" i="1"/>
  <c r="F96" i="1"/>
  <c r="F84" i="1"/>
  <c r="F120" i="1"/>
  <c r="F108" i="1"/>
  <c r="F25" i="1"/>
  <c r="F13" i="1"/>
  <c r="F49" i="1"/>
  <c r="F37" i="1"/>
  <c r="F73" i="1"/>
  <c r="F30" i="1"/>
  <c r="F66" i="1"/>
  <c r="F54" i="1"/>
  <c r="F90" i="1"/>
  <c r="F78" i="1"/>
  <c r="F114" i="1"/>
  <c r="F102" i="1"/>
  <c r="F19" i="1"/>
  <c r="F7" i="1"/>
  <c r="F43" i="1"/>
  <c r="F31" i="1"/>
  <c r="F67" i="1"/>
  <c r="F55" i="1"/>
  <c r="F91" i="1"/>
  <c r="F79" i="1"/>
  <c r="F115" i="1"/>
  <c r="F103" i="1"/>
  <c r="F20" i="1"/>
  <c r="F8" i="1"/>
  <c r="F44" i="1"/>
  <c r="F32" i="1"/>
  <c r="F68" i="1"/>
  <c r="F56" i="1"/>
  <c r="F92" i="1"/>
  <c r="F80" i="1"/>
  <c r="F116" i="1"/>
  <c r="F104" i="1"/>
  <c r="F21" i="1"/>
  <c r="F9" i="1"/>
  <c r="F45" i="1"/>
  <c r="F33" i="1"/>
  <c r="F69" i="1"/>
  <c r="F57" i="1"/>
  <c r="F93" i="1"/>
  <c r="F81" i="1"/>
  <c r="F117" i="1"/>
  <c r="F105" i="1"/>
  <c r="F22" i="1"/>
  <c r="F10" i="1"/>
  <c r="F46" i="1"/>
  <c r="F89" i="1"/>
  <c r="F77" i="1"/>
  <c r="F113" i="1"/>
  <c r="F101" i="1"/>
  <c r="F18" i="1"/>
  <c r="F6" i="1"/>
  <c r="F42" i="1"/>
  <c r="F2" i="1"/>
  <c r="F38" i="1"/>
  <c r="F26" i="1"/>
  <c r="F62" i="1"/>
  <c r="F50" i="1"/>
  <c r="F86" i="1"/>
  <c r="F74" i="1"/>
  <c r="F110" i="1"/>
  <c r="F98" i="1"/>
  <c r="F15" i="1"/>
  <c r="F3" i="1"/>
  <c r="F39" i="1"/>
  <c r="F27" i="1"/>
  <c r="F63" i="1"/>
  <c r="F51" i="1"/>
  <c r="F87" i="1"/>
  <c r="F75" i="1"/>
  <c r="F111" i="1"/>
  <c r="F99" i="1"/>
  <c r="F16" i="1"/>
  <c r="F4" i="1"/>
  <c r="F40" i="1"/>
  <c r="F28" i="1"/>
  <c r="F64" i="1"/>
  <c r="F52" i="1"/>
  <c r="F88" i="1"/>
  <c r="F76" i="1"/>
  <c r="F112" i="1"/>
  <c r="F100" i="1"/>
  <c r="F17" i="1"/>
  <c r="F5" i="1"/>
  <c r="F41" i="1"/>
  <c r="F29" i="1"/>
  <c r="F65" i="1"/>
  <c r="F53" i="1"/>
  <c r="D106" i="1"/>
  <c r="D23" i="1"/>
  <c r="D11" i="1"/>
  <c r="D47" i="1"/>
  <c r="D35" i="1"/>
  <c r="D71" i="1"/>
  <c r="D59" i="1"/>
  <c r="D95" i="1"/>
  <c r="D83" i="1"/>
  <c r="D119" i="1"/>
  <c r="D107" i="1"/>
  <c r="D24" i="1"/>
  <c r="D12" i="1"/>
  <c r="D48" i="1"/>
  <c r="D36" i="1"/>
  <c r="D72" i="1"/>
  <c r="D60" i="1"/>
  <c r="D96" i="1"/>
  <c r="D84" i="1"/>
  <c r="D120" i="1"/>
  <c r="D108" i="1"/>
  <c r="D25" i="1"/>
  <c r="D13" i="1"/>
  <c r="D49" i="1"/>
  <c r="D37" i="1"/>
  <c r="D73" i="1"/>
  <c r="D61" i="1"/>
  <c r="D97" i="1"/>
  <c r="D85" i="1"/>
  <c r="D121" i="1"/>
  <c r="D109" i="1"/>
  <c r="D19" i="1"/>
  <c r="D7" i="1"/>
  <c r="D43" i="1"/>
  <c r="D31" i="1"/>
  <c r="D67" i="1"/>
  <c r="D55" i="1"/>
  <c r="D91" i="1"/>
  <c r="D79" i="1"/>
  <c r="D115" i="1"/>
  <c r="D103" i="1"/>
  <c r="D20" i="1"/>
  <c r="D8" i="1"/>
  <c r="D44" i="1"/>
  <c r="D32" i="1"/>
  <c r="D68" i="1"/>
  <c r="D56" i="1"/>
  <c r="D92" i="1"/>
  <c r="D80" i="1"/>
  <c r="D116" i="1"/>
  <c r="D104" i="1"/>
  <c r="D21" i="1"/>
  <c r="D9" i="1"/>
  <c r="D45" i="1"/>
  <c r="D33" i="1"/>
  <c r="D69" i="1"/>
  <c r="D57" i="1"/>
  <c r="D93" i="1"/>
  <c r="D81" i="1"/>
  <c r="D117" i="1"/>
  <c r="D105" i="1"/>
  <c r="D22" i="1"/>
  <c r="D10" i="1"/>
  <c r="D46" i="1"/>
  <c r="D34" i="1"/>
  <c r="D70" i="1"/>
  <c r="D58" i="1"/>
  <c r="D94" i="1"/>
  <c r="D82" i="1"/>
  <c r="D118" i="1"/>
  <c r="D6" i="1"/>
  <c r="D42" i="1"/>
  <c r="D30" i="1"/>
  <c r="D66" i="1"/>
  <c r="D54" i="1"/>
  <c r="D90" i="1"/>
  <c r="D78" i="1"/>
  <c r="D114" i="1"/>
  <c r="D102" i="1"/>
  <c r="D2" i="1"/>
  <c r="D38" i="1"/>
  <c r="D26" i="1"/>
  <c r="D62" i="1"/>
  <c r="D50" i="1"/>
  <c r="D86" i="1"/>
  <c r="D74" i="1"/>
  <c r="D110" i="1"/>
  <c r="D98" i="1"/>
  <c r="D15" i="1"/>
  <c r="D3" i="1"/>
  <c r="D39" i="1"/>
  <c r="D27" i="1"/>
  <c r="D63" i="1"/>
  <c r="D51" i="1"/>
  <c r="D87" i="1"/>
  <c r="D75" i="1"/>
  <c r="D111" i="1"/>
  <c r="D99" i="1"/>
  <c r="D16" i="1"/>
  <c r="D4" i="1"/>
  <c r="D40" i="1"/>
  <c r="D28" i="1"/>
  <c r="D64" i="1"/>
  <c r="D52" i="1"/>
  <c r="D88" i="1"/>
  <c r="D76" i="1"/>
  <c r="D112" i="1"/>
  <c r="D100" i="1"/>
  <c r="D17" i="1"/>
  <c r="D5" i="1"/>
  <c r="D41" i="1"/>
  <c r="D29" i="1"/>
  <c r="D65" i="1"/>
  <c r="D53" i="1"/>
  <c r="D89" i="1"/>
  <c r="D77" i="1"/>
  <c r="D113" i="1"/>
  <c r="D101" i="1"/>
  <c r="D18" i="1"/>
  <c r="I14" i="1"/>
  <c r="F14" i="1"/>
  <c r="D14" i="1"/>
  <c r="G102" i="1" l="1"/>
  <c r="N102" i="1" s="1"/>
  <c r="G90" i="1"/>
  <c r="N90" i="1" s="1"/>
  <c r="G117" i="1"/>
  <c r="N117" i="1" s="1"/>
  <c r="G44" i="1"/>
  <c r="N44" i="1" s="1"/>
  <c r="G67" i="1"/>
  <c r="N67" i="1" s="1"/>
  <c r="G97" i="1"/>
  <c r="N97" i="1" s="1"/>
  <c r="G112" i="1"/>
  <c r="N112" i="1" s="1"/>
  <c r="G39" i="1"/>
  <c r="N39" i="1" s="1"/>
  <c r="G81" i="1"/>
  <c r="N81" i="1" s="1"/>
  <c r="G104" i="1"/>
  <c r="G31" i="1"/>
  <c r="G72" i="1"/>
  <c r="N72" i="1" s="1"/>
  <c r="G68" i="1"/>
  <c r="N68" i="1" s="1"/>
  <c r="G95" i="1"/>
  <c r="N95" i="1" s="1"/>
  <c r="G101" i="1"/>
  <c r="N101" i="1" s="1"/>
  <c r="G48" i="1"/>
  <c r="N48" i="1" s="1"/>
  <c r="G71" i="1"/>
  <c r="G63" i="1"/>
  <c r="N63" i="1" s="1"/>
  <c r="G120" i="1"/>
  <c r="N120" i="1" s="1"/>
  <c r="G24" i="1"/>
  <c r="G14" i="1"/>
  <c r="N14" i="1" s="1"/>
  <c r="G23" i="1"/>
  <c r="N24" i="1"/>
  <c r="G41" i="1"/>
  <c r="N41" i="1" s="1"/>
  <c r="G64" i="1"/>
  <c r="N64" i="1" s="1"/>
  <c r="G87" i="1"/>
  <c r="N87" i="1" s="1"/>
  <c r="G110" i="1"/>
  <c r="N110" i="1" s="1"/>
  <c r="G79" i="1"/>
  <c r="N79" i="1" s="1"/>
  <c r="N104" i="1"/>
  <c r="G66" i="1"/>
  <c r="N66" i="1" s="1"/>
  <c r="N23" i="1"/>
  <c r="G94" i="1"/>
  <c r="N94" i="1" s="1"/>
  <c r="G51" i="1"/>
  <c r="N51" i="1" s="1"/>
  <c r="G116" i="1"/>
  <c r="N116" i="1" s="1"/>
  <c r="G65" i="1"/>
  <c r="N65" i="1" s="1"/>
  <c r="G88" i="1"/>
  <c r="N88" i="1" s="1"/>
  <c r="G111" i="1"/>
  <c r="N111" i="1" s="1"/>
  <c r="G15" i="1"/>
  <c r="N15" i="1" s="1"/>
  <c r="G38" i="1"/>
  <c r="N38" i="1" s="1"/>
  <c r="G27" i="1"/>
  <c r="N27" i="1" s="1"/>
  <c r="G54" i="1"/>
  <c r="N54" i="1" s="1"/>
  <c r="G46" i="1"/>
  <c r="N46" i="1" s="1"/>
  <c r="G92" i="1"/>
  <c r="N92" i="1" s="1"/>
  <c r="G115" i="1"/>
  <c r="N115" i="1" s="1"/>
  <c r="G19" i="1"/>
  <c r="N19" i="1" s="1"/>
  <c r="G53" i="1"/>
  <c r="N53" i="1" s="1"/>
  <c r="G69" i="1"/>
  <c r="N69" i="1" s="1"/>
  <c r="G33" i="1"/>
  <c r="N33" i="1" s="1"/>
  <c r="G109" i="1"/>
  <c r="G17" i="1"/>
  <c r="N17" i="1" s="1"/>
  <c r="G86" i="1"/>
  <c r="N86" i="1" s="1"/>
  <c r="G85" i="1"/>
  <c r="N85" i="1" s="1"/>
  <c r="G16" i="1"/>
  <c r="N16" i="1" s="1"/>
  <c r="G6" i="1"/>
  <c r="N6" i="1" s="1"/>
  <c r="G32" i="1"/>
  <c r="N32" i="1" s="1"/>
  <c r="G47" i="1"/>
  <c r="N47" i="1" s="1"/>
  <c r="G58" i="1"/>
  <c r="N58" i="1" s="1"/>
  <c r="G8" i="1"/>
  <c r="N8" i="1" s="1"/>
  <c r="G98" i="1"/>
  <c r="N98" i="1" s="1"/>
  <c r="G89" i="1"/>
  <c r="N89" i="1" s="1"/>
  <c r="G107" i="1"/>
  <c r="N107" i="1" s="1"/>
  <c r="G11" i="1"/>
  <c r="N11" i="1" s="1"/>
  <c r="G20" i="1"/>
  <c r="N20" i="1" s="1"/>
  <c r="G73" i="1"/>
  <c r="N73" i="1" s="1"/>
  <c r="G100" i="1"/>
  <c r="N100" i="1" s="1"/>
  <c r="G42" i="1"/>
  <c r="N42" i="1" s="1"/>
  <c r="G49" i="1"/>
  <c r="N49" i="1" s="1"/>
  <c r="G10" i="1"/>
  <c r="N10" i="1" s="1"/>
  <c r="G114" i="1"/>
  <c r="N114" i="1" s="1"/>
  <c r="G118" i="1"/>
  <c r="N118" i="1" s="1"/>
  <c r="G22" i="1"/>
  <c r="N22" i="1" s="1"/>
  <c r="G45" i="1"/>
  <c r="N45" i="1" s="1"/>
  <c r="G121" i="1"/>
  <c r="N121" i="1" s="1"/>
  <c r="G108" i="1"/>
  <c r="N108" i="1" s="1"/>
  <c r="N109" i="1"/>
  <c r="G70" i="1"/>
  <c r="N70" i="1" s="1"/>
  <c r="G93" i="1"/>
  <c r="N93" i="1" s="1"/>
  <c r="G43" i="1"/>
  <c r="N43" i="1" s="1"/>
  <c r="G119" i="1"/>
  <c r="N119" i="1" s="1"/>
  <c r="G26" i="1"/>
  <c r="N26" i="1" s="1"/>
  <c r="G78" i="1"/>
  <c r="N78" i="1" s="1"/>
  <c r="G56" i="1"/>
  <c r="N56" i="1" s="1"/>
  <c r="N71" i="1"/>
  <c r="N31" i="1"/>
  <c r="G40" i="1"/>
  <c r="N40" i="1" s="1"/>
  <c r="G99" i="1"/>
  <c r="N99" i="1" s="1"/>
  <c r="G18" i="1"/>
  <c r="N18" i="1" s="1"/>
  <c r="G25" i="1"/>
  <c r="N25" i="1" s="1"/>
  <c r="G77" i="1"/>
  <c r="N77" i="1" s="1"/>
  <c r="G21" i="1"/>
  <c r="N21" i="1" s="1"/>
  <c r="G5" i="1"/>
  <c r="N5" i="1" s="1"/>
  <c r="G52" i="1"/>
  <c r="N52" i="1" s="1"/>
  <c r="G105" i="1"/>
  <c r="N105" i="1" s="1"/>
  <c r="G55" i="1"/>
  <c r="N55" i="1" s="1"/>
  <c r="G12" i="1"/>
  <c r="N12" i="1" s="1"/>
  <c r="G82" i="1"/>
  <c r="N82" i="1" s="1"/>
  <c r="G113" i="1"/>
  <c r="N113" i="1" s="1"/>
  <c r="G91" i="1"/>
  <c r="N91" i="1" s="1"/>
  <c r="G61" i="1"/>
  <c r="N61" i="1" s="1"/>
  <c r="G62" i="1"/>
  <c r="N62" i="1" s="1"/>
  <c r="G84" i="1"/>
  <c r="N84" i="1" s="1"/>
  <c r="G103" i="1"/>
  <c r="N103" i="1" s="1"/>
  <c r="G36" i="1"/>
  <c r="N36" i="1" s="1"/>
  <c r="G83" i="1"/>
  <c r="N83" i="1" s="1"/>
  <c r="G74" i="1"/>
  <c r="N74" i="1" s="1"/>
  <c r="G37" i="1"/>
  <c r="N37" i="1" s="1"/>
  <c r="G28" i="1"/>
  <c r="N28" i="1" s="1"/>
  <c r="G59" i="1"/>
  <c r="N59" i="1" s="1"/>
  <c r="G29" i="1"/>
  <c r="N29" i="1" s="1"/>
  <c r="G75" i="1"/>
  <c r="N75" i="1" s="1"/>
  <c r="G2" i="1"/>
  <c r="N2" i="1" s="1"/>
  <c r="G80" i="1"/>
  <c r="N80" i="1" s="1"/>
  <c r="G60" i="1"/>
  <c r="N60" i="1" s="1"/>
  <c r="G106" i="1"/>
  <c r="N106" i="1" s="1"/>
  <c r="G3" i="1"/>
  <c r="N3" i="1" s="1"/>
  <c r="G34" i="1"/>
  <c r="N34" i="1" s="1"/>
  <c r="G7" i="1"/>
  <c r="N7" i="1" s="1"/>
  <c r="G96" i="1"/>
  <c r="N96" i="1" s="1"/>
  <c r="G13" i="1"/>
  <c r="N13" i="1" s="1"/>
  <c r="G76" i="1"/>
  <c r="N76" i="1" s="1"/>
  <c r="G9" i="1"/>
  <c r="N9" i="1" s="1"/>
  <c r="G4" i="1"/>
  <c r="N4" i="1" s="1"/>
  <c r="G50" i="1"/>
  <c r="N50" i="1" s="1"/>
  <c r="G57" i="1"/>
  <c r="N57" i="1" s="1"/>
  <c r="G30" i="1"/>
  <c r="N30" i="1" s="1"/>
  <c r="G35" i="1"/>
  <c r="N35" i="1" s="1"/>
</calcChain>
</file>

<file path=xl/sharedStrings.xml><?xml version="1.0" encoding="utf-8"?>
<sst xmlns="http://schemas.openxmlformats.org/spreadsheetml/2006/main" count="146" uniqueCount="36">
  <si>
    <t>Path.Name</t>
  </si>
  <si>
    <t>U238.t</t>
  </si>
  <si>
    <t>U235.t</t>
  </si>
  <si>
    <t>Th232.t</t>
  </si>
  <si>
    <t>2_min</t>
  </si>
  <si>
    <t>2_max</t>
  </si>
  <si>
    <t>alpha_e_20</t>
  </si>
  <si>
    <t>ZHe.date_20</t>
  </si>
  <si>
    <t>alpha_e_90</t>
  </si>
  <si>
    <t>ZHe.date_90</t>
  </si>
  <si>
    <t>Total U ppm</t>
  </si>
  <si>
    <t>Th ppm</t>
  </si>
  <si>
    <t>U238 ppm</t>
  </si>
  <si>
    <t>U235 ppm</t>
  </si>
  <si>
    <t>eU at t0</t>
  </si>
  <si>
    <t>eU at t1</t>
  </si>
  <si>
    <t>gc_20_ZHe</t>
  </si>
  <si>
    <t>gc_90_ZHe</t>
  </si>
  <si>
    <t>gc_alpha</t>
  </si>
  <si>
    <t>sc_20_ZHe</t>
  </si>
  <si>
    <t>sc_90_ZHe</t>
  </si>
  <si>
    <t>sc_alpha</t>
  </si>
  <si>
    <t>fc_20_ZHe</t>
  </si>
  <si>
    <t>fc_90_ZHe</t>
  </si>
  <si>
    <t>3_max</t>
  </si>
  <si>
    <t>fc_alpha</t>
  </si>
  <si>
    <t>3_min</t>
  </si>
  <si>
    <t>1a_max</t>
  </si>
  <si>
    <t>1a_min</t>
  </si>
  <si>
    <t>1b_max</t>
  </si>
  <si>
    <t>1b_min</t>
  </si>
  <si>
    <t>1c_max</t>
  </si>
  <si>
    <t>1c_min</t>
  </si>
  <si>
    <t>gf_20_ZHe</t>
  </si>
  <si>
    <t>gf_90_ZHe</t>
  </si>
  <si>
    <t>gf_alpha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</si>
</sst>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0" borderId="6" xfId="0" applyFont="1" applyBorder="1"/>
    <xf numFmtId="2" fontId="1" fillId="0" borderId="6" xfId="0" applyNumberFormat="1" applyFont="1" applyBorder="1"/>
    <xf numFmtId="1" fontId="1" fillId="0" borderId="6" xfId="0" applyNumberFormat="1" applyFont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0" borderId="8" xfId="0" applyFont="1" applyBorder="1"/>
    <xf numFmtId="0" fontId="1" fillId="0" borderId="7" xfId="0" applyFont="1" applyBorder="1"/>
    <xf numFmtId="0" fontId="0" fillId="0" borderId="2" xfId="0" applyBorder="1"/>
    <xf numFmtId="0" fontId="0" fillId="0" borderId="3" xfId="0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1"/>
  <sheetViews>
    <sheetView tabSelected="1" workbookViewId="0">
      <pane xSplit="14" topLeftCell="O1" activePane="topRight" state="frozen"/>
      <selection pane="topRight" activeCell="Z120" sqref="Z120"/>
    </sheetView>
  </sheetViews>
  <sheetFormatPr baseColWidth="10" defaultRowHeight="15" x14ac:dyDescent="0.2"/>
  <cols>
    <col min="3" max="3" width="0" hidden="1" customWidth="1"/>
    <col min="4" max="4" width="12.83203125" style="1" hidden="1" customWidth="1"/>
    <col min="5" max="9" width="0" style="1" hidden="1" customWidth="1"/>
    <col min="10" max="13" width="0" hidden="1" customWidth="1"/>
    <col min="14" max="14" width="0" style="2" hidden="1" customWidth="1"/>
    <col min="15" max="15" width="10.83203125" style="10"/>
    <col min="16" max="17" width="10.83203125" style="8"/>
    <col min="18" max="18" width="10.83203125" style="19"/>
    <col min="21" max="21" width="10.83203125" style="10"/>
    <col min="22" max="23" width="10.83203125" style="8"/>
    <col min="24" max="24" width="10.83203125" style="19"/>
    <col min="26" max="26" width="10.83203125" style="6"/>
  </cols>
  <sheetData>
    <row r="1" spans="1:26" s="12" customFormat="1" ht="16" thickBot="1" x14ac:dyDescent="0.25">
      <c r="A1" s="12" t="s">
        <v>0</v>
      </c>
      <c r="B1" s="12" t="s">
        <v>15</v>
      </c>
      <c r="C1" s="12" t="s">
        <v>1</v>
      </c>
      <c r="D1" s="13" t="s">
        <v>12</v>
      </c>
      <c r="E1" s="13" t="s">
        <v>2</v>
      </c>
      <c r="F1" s="13" t="s">
        <v>13</v>
      </c>
      <c r="G1" s="13" t="s">
        <v>10</v>
      </c>
      <c r="H1" s="13" t="s">
        <v>3</v>
      </c>
      <c r="I1" s="13" t="s">
        <v>11</v>
      </c>
      <c r="J1" s="12" t="s">
        <v>6</v>
      </c>
      <c r="K1" s="12" t="s">
        <v>7</v>
      </c>
      <c r="L1" s="12" t="s">
        <v>8</v>
      </c>
      <c r="M1" s="12" t="s">
        <v>9</v>
      </c>
      <c r="N1" s="14" t="s">
        <v>14</v>
      </c>
      <c r="O1" s="16" t="s">
        <v>16</v>
      </c>
      <c r="P1" s="15" t="s">
        <v>17</v>
      </c>
      <c r="Q1" s="15" t="s">
        <v>18</v>
      </c>
      <c r="R1" s="18" t="s">
        <v>33</v>
      </c>
      <c r="S1" s="12" t="s">
        <v>34</v>
      </c>
      <c r="T1" s="12" t="s">
        <v>35</v>
      </c>
      <c r="U1" s="16" t="s">
        <v>19</v>
      </c>
      <c r="V1" s="15" t="s">
        <v>20</v>
      </c>
      <c r="W1" s="15" t="s">
        <v>21</v>
      </c>
      <c r="X1" s="18" t="s">
        <v>22</v>
      </c>
      <c r="Y1" s="12" t="s">
        <v>23</v>
      </c>
      <c r="Z1" s="17" t="s">
        <v>25</v>
      </c>
    </row>
    <row r="2" spans="1:26" x14ac:dyDescent="0.2">
      <c r="A2" t="s">
        <v>24</v>
      </c>
      <c r="B2">
        <v>10</v>
      </c>
      <c r="C2">
        <v>1.9320958197359248E+16</v>
      </c>
      <c r="D2" s="1">
        <f t="shared" ref="D2:D33" si="0">C2/(6.022*10^(23))*238*10^6</f>
        <v>7.6359814861698787</v>
      </c>
      <c r="E2" s="1">
        <v>52431452737340.703</v>
      </c>
      <c r="F2" s="1">
        <f t="shared" ref="F2:F33" si="1">E2/(6.022*10^(23))*235*10^6</f>
        <v>2.0460630012080813E-2</v>
      </c>
      <c r="G2" s="1">
        <f t="shared" ref="G2:G33" si="2">D2+F2</f>
        <v>7.6564421161819594</v>
      </c>
      <c r="H2" s="1">
        <v>7550407098360421</v>
      </c>
      <c r="I2" s="1">
        <f t="shared" ref="I2:I33" si="3">H2/(6.022*10^(23))*232*10^6</f>
        <v>2.9088250528389534</v>
      </c>
      <c r="J2">
        <v>3056556350245860</v>
      </c>
      <c r="K2">
        <v>109.2</v>
      </c>
      <c r="L2">
        <v>3056556350245860</v>
      </c>
      <c r="M2">
        <v>110</v>
      </c>
      <c r="N2" s="2">
        <f t="shared" ref="N2:N33" si="4">G2+0.238*I2</f>
        <v>8.3487424787576305</v>
      </c>
      <c r="O2" s="10">
        <v>20.6</v>
      </c>
      <c r="P2" s="8">
        <v>31.1</v>
      </c>
      <c r="Q2" s="8">
        <f>3.278*10^(15)</f>
        <v>3278000000000000</v>
      </c>
      <c r="R2" s="19">
        <v>20.6</v>
      </c>
      <c r="S2">
        <v>31.1</v>
      </c>
      <c r="T2">
        <f>3.278*10^(15)</f>
        <v>3278000000000000</v>
      </c>
      <c r="U2" s="10">
        <v>20.6</v>
      </c>
      <c r="V2" s="8">
        <v>31.1</v>
      </c>
      <c r="W2" s="8">
        <f>3.278*10^(15)</f>
        <v>3278000000000000</v>
      </c>
      <c r="X2" s="19">
        <v>20.6</v>
      </c>
      <c r="Y2" s="21">
        <v>31.1</v>
      </c>
      <c r="Z2" s="6">
        <f>3.278*10^(15)</f>
        <v>3278000000000000</v>
      </c>
    </row>
    <row r="3" spans="1:26" x14ac:dyDescent="0.2">
      <c r="A3" t="s">
        <v>24</v>
      </c>
      <c r="B3">
        <v>50</v>
      </c>
      <c r="C3">
        <v>9.6604790986796224E+16</v>
      </c>
      <c r="D3" s="1">
        <f t="shared" si="0"/>
        <v>38.17990743084939</v>
      </c>
      <c r="E3" s="1">
        <v>262157263686704</v>
      </c>
      <c r="F3" s="1">
        <f t="shared" si="1"/>
        <v>0.10230315006040426</v>
      </c>
      <c r="G3" s="1">
        <f t="shared" si="2"/>
        <v>38.282210580909798</v>
      </c>
      <c r="H3" s="1">
        <v>3.7752035491802144E+16</v>
      </c>
      <c r="I3" s="1">
        <f t="shared" si="3"/>
        <v>14.544125264194783</v>
      </c>
      <c r="J3">
        <v>1.5282781751229322E+16</v>
      </c>
      <c r="K3">
        <v>110</v>
      </c>
      <c r="L3">
        <v>1.5282781751229322E+16</v>
      </c>
      <c r="M3">
        <v>110.9</v>
      </c>
      <c r="N3" s="2">
        <f t="shared" si="4"/>
        <v>41.743712393788158</v>
      </c>
      <c r="O3" s="10">
        <v>31.9</v>
      </c>
      <c r="P3" s="8">
        <v>43.6</v>
      </c>
      <c r="Q3" s="8">
        <f>1.639*10^(16)</f>
        <v>1.639E+16</v>
      </c>
      <c r="R3" s="19">
        <v>31.9</v>
      </c>
      <c r="S3">
        <v>43.6</v>
      </c>
      <c r="T3">
        <f>1.639*10^(16)</f>
        <v>1.639E+16</v>
      </c>
      <c r="U3" s="10">
        <v>31.9</v>
      </c>
      <c r="V3" s="8">
        <v>43.6</v>
      </c>
      <c r="W3" s="8">
        <f>1.639*10^(16)</f>
        <v>1.639E+16</v>
      </c>
      <c r="X3" s="19">
        <v>31.9</v>
      </c>
      <c r="Y3" s="21">
        <v>43.6</v>
      </c>
      <c r="Z3" s="6">
        <f>1.639*10^(16)</f>
        <v>1.639E+16</v>
      </c>
    </row>
    <row r="4" spans="1:26" x14ac:dyDescent="0.2">
      <c r="A4" t="s">
        <v>24</v>
      </c>
      <c r="B4">
        <v>100</v>
      </c>
      <c r="C4">
        <v>1.9320958197359245E+17</v>
      </c>
      <c r="D4" s="1">
        <f t="shared" si="0"/>
        <v>76.35981486169878</v>
      </c>
      <c r="E4" s="1">
        <v>524314527373407</v>
      </c>
      <c r="F4" s="1">
        <f t="shared" si="1"/>
        <v>0.20460630012080813</v>
      </c>
      <c r="G4" s="1">
        <f t="shared" si="2"/>
        <v>76.564421161819581</v>
      </c>
      <c r="H4" s="1">
        <v>7.5504070983604288E+16</v>
      </c>
      <c r="I4" s="1">
        <f t="shared" si="3"/>
        <v>29.088250528389565</v>
      </c>
      <c r="J4">
        <v>3.0565563502458644E+16</v>
      </c>
      <c r="K4">
        <v>110.4</v>
      </c>
      <c r="L4">
        <v>3.0565563502458644E+16</v>
      </c>
      <c r="M4">
        <v>111.3</v>
      </c>
      <c r="N4" s="2">
        <f t="shared" si="4"/>
        <v>83.487424787576302</v>
      </c>
      <c r="O4" s="10">
        <v>37.1</v>
      </c>
      <c r="P4" s="8">
        <v>49.2</v>
      </c>
      <c r="Q4" s="8">
        <f>3.279*10^(16)</f>
        <v>3.279E+16</v>
      </c>
      <c r="R4" s="19">
        <v>37.1</v>
      </c>
      <c r="S4">
        <v>49.2</v>
      </c>
      <c r="T4">
        <f>3.279*10^(16)</f>
        <v>3.279E+16</v>
      </c>
      <c r="U4" s="10">
        <v>37.1</v>
      </c>
      <c r="V4" s="8">
        <v>49.2</v>
      </c>
      <c r="W4" s="8">
        <f>3.279*10^(16)</f>
        <v>3.279E+16</v>
      </c>
      <c r="X4" s="19">
        <v>37.1</v>
      </c>
      <c r="Y4" s="21">
        <v>49.2</v>
      </c>
      <c r="Z4" s="6">
        <f>3.279*10^(16)</f>
        <v>3.279E+16</v>
      </c>
    </row>
    <row r="5" spans="1:26" x14ac:dyDescent="0.2">
      <c r="A5" t="s">
        <v>24</v>
      </c>
      <c r="B5">
        <v>200</v>
      </c>
      <c r="C5">
        <v>3.864191639471849E+17</v>
      </c>
      <c r="D5" s="1">
        <f t="shared" si="0"/>
        <v>152.71962972339756</v>
      </c>
      <c r="E5" s="1">
        <v>1048629054746814</v>
      </c>
      <c r="F5" s="1">
        <f t="shared" si="1"/>
        <v>0.40921260024161626</v>
      </c>
      <c r="G5" s="1">
        <f t="shared" si="2"/>
        <v>153.12884232363916</v>
      </c>
      <c r="H5" s="1">
        <v>1.5100814196720858E+17</v>
      </c>
      <c r="I5" s="1">
        <f t="shared" si="3"/>
        <v>58.176501056779131</v>
      </c>
      <c r="J5">
        <v>6.1131127004917288E+16</v>
      </c>
      <c r="K5">
        <v>110.8</v>
      </c>
      <c r="L5">
        <v>6.1131127004917288E+16</v>
      </c>
      <c r="M5">
        <v>111.7</v>
      </c>
      <c r="N5" s="2">
        <f t="shared" si="4"/>
        <v>166.9748495751526</v>
      </c>
      <c r="O5" s="10">
        <v>42.3</v>
      </c>
      <c r="P5" s="8">
        <v>54.9</v>
      </c>
      <c r="Q5" s="8">
        <f>6.558*10^(16)</f>
        <v>6.558E+16</v>
      </c>
      <c r="R5" s="19">
        <v>42.3</v>
      </c>
      <c r="S5">
        <v>54.9</v>
      </c>
      <c r="T5">
        <f>6.558*10^(16)</f>
        <v>6.558E+16</v>
      </c>
      <c r="U5" s="10">
        <v>42.3</v>
      </c>
      <c r="V5" s="8">
        <v>54.9</v>
      </c>
      <c r="W5" s="8">
        <f>6.558*10^(16)</f>
        <v>6.558E+16</v>
      </c>
      <c r="X5" s="19">
        <v>42.3</v>
      </c>
      <c r="Y5" s="21">
        <v>54.9</v>
      </c>
      <c r="Z5" s="6">
        <f>6.558*10^(16)</f>
        <v>6.558E+16</v>
      </c>
    </row>
    <row r="6" spans="1:26" x14ac:dyDescent="0.2">
      <c r="A6" t="s">
        <v>24</v>
      </c>
      <c r="B6">
        <v>300</v>
      </c>
      <c r="C6">
        <v>5.7962874592077747E+17</v>
      </c>
      <c r="D6" s="1">
        <f t="shared" si="0"/>
        <v>229.07944458509638</v>
      </c>
      <c r="E6" s="1">
        <v>1572943582120222</v>
      </c>
      <c r="F6" s="1">
        <f t="shared" si="1"/>
        <v>0.61381890036242481</v>
      </c>
      <c r="G6" s="1">
        <f t="shared" si="2"/>
        <v>229.6932634854588</v>
      </c>
      <c r="H6" s="1">
        <v>2.2651221295081299E+17</v>
      </c>
      <c r="I6" s="1">
        <f t="shared" si="3"/>
        <v>87.264751585168739</v>
      </c>
      <c r="J6">
        <v>9.1696690507375856E+16</v>
      </c>
      <c r="K6">
        <v>111</v>
      </c>
      <c r="L6">
        <v>9.1696690507375856E+16</v>
      </c>
      <c r="M6">
        <v>112</v>
      </c>
      <c r="N6" s="2">
        <f t="shared" si="4"/>
        <v>250.46227436272895</v>
      </c>
      <c r="O6" s="10">
        <v>45.3</v>
      </c>
      <c r="P6" s="8">
        <v>59.7</v>
      </c>
      <c r="Q6" s="8">
        <f>9.837*10^(16)</f>
        <v>9.837E+16</v>
      </c>
      <c r="R6" s="19">
        <v>45.3</v>
      </c>
      <c r="S6">
        <v>59.7</v>
      </c>
      <c r="T6">
        <f>9.837*10^(16)</f>
        <v>9.837E+16</v>
      </c>
      <c r="U6" s="10">
        <v>45.3</v>
      </c>
      <c r="V6" s="8">
        <v>59.7</v>
      </c>
      <c r="W6" s="8">
        <f>9.837*10^(16)</f>
        <v>9.837E+16</v>
      </c>
      <c r="X6" s="19">
        <v>45.3</v>
      </c>
      <c r="Y6" s="21">
        <v>59.7</v>
      </c>
      <c r="Z6" s="6">
        <f>9.837*10^(16)</f>
        <v>9.837E+16</v>
      </c>
    </row>
    <row r="7" spans="1:26" x14ac:dyDescent="0.2">
      <c r="A7" t="s">
        <v>24</v>
      </c>
      <c r="B7">
        <v>400</v>
      </c>
      <c r="C7">
        <v>7.7283832789436979E+17</v>
      </c>
      <c r="D7" s="1">
        <f t="shared" si="0"/>
        <v>305.43925944679512</v>
      </c>
      <c r="E7" s="1">
        <v>2097258109493629</v>
      </c>
      <c r="F7" s="1">
        <f t="shared" si="1"/>
        <v>0.81842520048323297</v>
      </c>
      <c r="G7" s="1">
        <f t="shared" si="2"/>
        <v>306.25768464727832</v>
      </c>
      <c r="H7" s="1">
        <v>3.0201628393441715E+17</v>
      </c>
      <c r="I7" s="1">
        <f t="shared" si="3"/>
        <v>116.35300211355826</v>
      </c>
      <c r="J7">
        <v>1.2226225400983458E+17</v>
      </c>
      <c r="K7">
        <v>111.2</v>
      </c>
      <c r="L7">
        <v>1.2226225400983458E+17</v>
      </c>
      <c r="M7">
        <v>112.2</v>
      </c>
      <c r="N7" s="2">
        <f t="shared" si="4"/>
        <v>333.94969915030521</v>
      </c>
      <c r="O7" s="10">
        <v>47.4</v>
      </c>
      <c r="P7" s="8">
        <v>65</v>
      </c>
      <c r="Q7" s="8">
        <f>1.312*10^(17)</f>
        <v>1.312E+17</v>
      </c>
      <c r="R7" s="19">
        <v>47.4</v>
      </c>
      <c r="S7">
        <v>65</v>
      </c>
      <c r="T7">
        <f>1.312*10^(17)</f>
        <v>1.312E+17</v>
      </c>
      <c r="U7" s="10">
        <v>47.4</v>
      </c>
      <c r="V7" s="8">
        <v>65</v>
      </c>
      <c r="W7" s="8">
        <f>1.312*10^(17)</f>
        <v>1.312E+17</v>
      </c>
      <c r="X7" s="19">
        <v>47.4</v>
      </c>
      <c r="Y7" s="21">
        <v>65</v>
      </c>
      <c r="Z7" s="6">
        <f>1.312*10^(17)</f>
        <v>1.312E+17</v>
      </c>
    </row>
    <row r="8" spans="1:26" x14ac:dyDescent="0.2">
      <c r="A8" t="s">
        <v>24</v>
      </c>
      <c r="B8">
        <v>500</v>
      </c>
      <c r="C8">
        <v>9.6604790986796237E+17</v>
      </c>
      <c r="D8" s="1">
        <f t="shared" si="0"/>
        <v>381.79907430849397</v>
      </c>
      <c r="E8" s="1">
        <v>2621572636867036</v>
      </c>
      <c r="F8" s="1">
        <f t="shared" si="1"/>
        <v>1.0230315006040411</v>
      </c>
      <c r="G8" s="1">
        <f t="shared" si="2"/>
        <v>382.82210580909799</v>
      </c>
      <c r="H8" s="1">
        <v>3.7752035491802125E+17</v>
      </c>
      <c r="I8" s="1">
        <f t="shared" si="3"/>
        <v>145.44125264194776</v>
      </c>
      <c r="J8">
        <v>1.5282781751229325E+17</v>
      </c>
      <c r="K8">
        <v>111.4</v>
      </c>
      <c r="L8">
        <v>1.5282781751229325E+17</v>
      </c>
      <c r="M8">
        <v>112.3</v>
      </c>
      <c r="N8" s="2">
        <f t="shared" si="4"/>
        <v>417.43712393788155</v>
      </c>
      <c r="O8" s="10">
        <v>49</v>
      </c>
      <c r="P8" s="8">
        <v>69.5</v>
      </c>
      <c r="Q8" s="8">
        <f>1.64*10^(17)</f>
        <v>1.64E+17</v>
      </c>
      <c r="R8" s="19">
        <v>49</v>
      </c>
      <c r="S8">
        <v>69.5</v>
      </c>
      <c r="T8">
        <f>1.64*10^(17)</f>
        <v>1.64E+17</v>
      </c>
      <c r="U8" s="10">
        <v>49</v>
      </c>
      <c r="V8" s="8">
        <v>69.5</v>
      </c>
      <c r="W8" s="8">
        <f>1.64*10^(17)</f>
        <v>1.64E+17</v>
      </c>
      <c r="X8" s="19">
        <v>49</v>
      </c>
      <c r="Y8" s="21">
        <v>69.5</v>
      </c>
      <c r="Z8" s="6">
        <f>1.64*10^(17)</f>
        <v>1.64E+17</v>
      </c>
    </row>
    <row r="9" spans="1:26" x14ac:dyDescent="0.2">
      <c r="A9" t="s">
        <v>24</v>
      </c>
      <c r="B9">
        <v>600</v>
      </c>
      <c r="C9">
        <v>1.1592574918415549E+18</v>
      </c>
      <c r="D9" s="1">
        <f t="shared" si="0"/>
        <v>458.15888917019277</v>
      </c>
      <c r="E9" s="1">
        <v>3145887164240444</v>
      </c>
      <c r="F9" s="1">
        <f t="shared" si="1"/>
        <v>1.2276378007248496</v>
      </c>
      <c r="G9" s="1">
        <f t="shared" si="2"/>
        <v>459.3865269709176</v>
      </c>
      <c r="H9" s="1">
        <v>4.5302442590162598E+17</v>
      </c>
      <c r="I9" s="1">
        <f t="shared" si="3"/>
        <v>174.52950317033748</v>
      </c>
      <c r="J9">
        <v>1.8339338101475171E+17</v>
      </c>
      <c r="K9">
        <v>111.5</v>
      </c>
      <c r="L9">
        <v>1.8339338101475171E+17</v>
      </c>
      <c r="M9">
        <v>112.4</v>
      </c>
      <c r="N9" s="2">
        <f t="shared" si="4"/>
        <v>500.9245487254579</v>
      </c>
      <c r="O9" s="10">
        <v>50.2</v>
      </c>
      <c r="P9" s="8">
        <v>73.2</v>
      </c>
      <c r="Q9" s="8">
        <f>1.967*10^(17)</f>
        <v>1.967E+17</v>
      </c>
      <c r="R9" s="19">
        <v>50.2</v>
      </c>
      <c r="S9">
        <v>73.2</v>
      </c>
      <c r="T9">
        <f>1.967*10^(17)</f>
        <v>1.967E+17</v>
      </c>
      <c r="U9" s="10">
        <v>50.2</v>
      </c>
      <c r="V9" s="8">
        <v>73.2</v>
      </c>
      <c r="W9" s="8">
        <f>1.967*10^(17)</f>
        <v>1.967E+17</v>
      </c>
      <c r="X9" s="19">
        <v>50.2</v>
      </c>
      <c r="Y9" s="21">
        <v>73.2</v>
      </c>
      <c r="Z9" s="6">
        <f>1.967*10^(17)</f>
        <v>1.967E+17</v>
      </c>
    </row>
    <row r="10" spans="1:26" x14ac:dyDescent="0.2">
      <c r="A10" t="s">
        <v>24</v>
      </c>
      <c r="B10">
        <v>700</v>
      </c>
      <c r="C10">
        <v>1.3524670738151473E+18</v>
      </c>
      <c r="D10" s="1">
        <f t="shared" si="0"/>
        <v>534.5187040318915</v>
      </c>
      <c r="E10" s="1">
        <v>3670201691613851</v>
      </c>
      <c r="F10" s="1">
        <f t="shared" si="1"/>
        <v>1.4322441008456577</v>
      </c>
      <c r="G10" s="1">
        <f t="shared" si="2"/>
        <v>535.95094813273715</v>
      </c>
      <c r="H10" s="1">
        <v>5.2852849688522957E+17</v>
      </c>
      <c r="I10" s="1">
        <f t="shared" si="3"/>
        <v>203.61775369872677</v>
      </c>
      <c r="J10">
        <v>2.1395894451721008E+17</v>
      </c>
      <c r="K10">
        <v>111.6</v>
      </c>
      <c r="L10">
        <v>2.1395894451721008E+17</v>
      </c>
      <c r="M10">
        <v>112.5</v>
      </c>
      <c r="N10" s="2">
        <f t="shared" si="4"/>
        <v>584.41197351303413</v>
      </c>
      <c r="O10" s="10">
        <v>51.2</v>
      </c>
      <c r="P10" s="8">
        <v>76.099999999999994</v>
      </c>
      <c r="Q10" s="8">
        <f>2.295*10^(17)</f>
        <v>2.295E+17</v>
      </c>
      <c r="R10" s="19">
        <v>51.2</v>
      </c>
      <c r="S10">
        <v>76.099999999999994</v>
      </c>
      <c r="T10">
        <f>2.295*10^(17)</f>
        <v>2.295E+17</v>
      </c>
      <c r="U10" s="10">
        <v>51.2</v>
      </c>
      <c r="V10" s="8">
        <v>76.099999999999994</v>
      </c>
      <c r="W10" s="8">
        <f>2.295*10^(17)</f>
        <v>2.295E+17</v>
      </c>
      <c r="X10" s="19">
        <v>51.2</v>
      </c>
      <c r="Y10" s="21">
        <v>76.099999999999994</v>
      </c>
      <c r="Z10" s="6">
        <f>2.295*10^(17)</f>
        <v>2.295E+17</v>
      </c>
    </row>
    <row r="11" spans="1:26" x14ac:dyDescent="0.2">
      <c r="A11" t="s">
        <v>24</v>
      </c>
      <c r="B11">
        <v>800</v>
      </c>
      <c r="C11">
        <v>1.5456766557887396E+18</v>
      </c>
      <c r="D11" s="1">
        <f t="shared" si="0"/>
        <v>610.87851889359024</v>
      </c>
      <c r="E11" s="1">
        <v>4194516218987258</v>
      </c>
      <c r="F11" s="1">
        <f t="shared" si="1"/>
        <v>1.6368504009664659</v>
      </c>
      <c r="G11" s="1">
        <f t="shared" si="2"/>
        <v>612.51536929455665</v>
      </c>
      <c r="H11" s="1">
        <v>6.040325678688343E+17</v>
      </c>
      <c r="I11" s="1">
        <f t="shared" si="3"/>
        <v>232.70600422711652</v>
      </c>
      <c r="J11">
        <v>2.4452450801966915E+17</v>
      </c>
      <c r="K11">
        <v>111.6</v>
      </c>
      <c r="L11">
        <v>2.4452450801966915E+17</v>
      </c>
      <c r="M11">
        <v>112.6</v>
      </c>
      <c r="N11" s="2">
        <f t="shared" si="4"/>
        <v>667.89939830061041</v>
      </c>
      <c r="O11" s="10">
        <v>52</v>
      </c>
      <c r="P11" s="8">
        <v>78.5</v>
      </c>
      <c r="Q11" s="8">
        <f>2.623*10^(17)</f>
        <v>2.6230000000000003E+17</v>
      </c>
      <c r="R11" s="19">
        <v>52</v>
      </c>
      <c r="S11">
        <v>78.5</v>
      </c>
      <c r="T11">
        <f>2.623*10^(17)</f>
        <v>2.6230000000000003E+17</v>
      </c>
      <c r="U11" s="10">
        <v>52</v>
      </c>
      <c r="V11" s="8">
        <v>78.5</v>
      </c>
      <c r="W11" s="8">
        <f>2.623*10^(17)</f>
        <v>2.6230000000000003E+17</v>
      </c>
      <c r="X11" s="19">
        <v>52</v>
      </c>
      <c r="Y11" s="21">
        <v>78.5</v>
      </c>
      <c r="Z11" s="6">
        <f>2.623*10^(17)</f>
        <v>2.6230000000000003E+17</v>
      </c>
    </row>
    <row r="12" spans="1:26" x14ac:dyDescent="0.2">
      <c r="A12" t="s">
        <v>24</v>
      </c>
      <c r="B12">
        <v>900</v>
      </c>
      <c r="C12">
        <v>1.7388862377623322E+18</v>
      </c>
      <c r="D12" s="1">
        <f t="shared" si="0"/>
        <v>687.23833375528909</v>
      </c>
      <c r="E12" s="1">
        <v>4718830746360665</v>
      </c>
      <c r="F12" s="1">
        <f t="shared" si="1"/>
        <v>1.8414567010872738</v>
      </c>
      <c r="G12" s="1">
        <f t="shared" si="2"/>
        <v>689.07979045637637</v>
      </c>
      <c r="H12" s="1">
        <v>6.7953663885243789E+17</v>
      </c>
      <c r="I12" s="1">
        <f t="shared" si="3"/>
        <v>261.79425475550585</v>
      </c>
      <c r="J12">
        <v>2.7509007152212794E+17</v>
      </c>
      <c r="K12">
        <v>111.7</v>
      </c>
      <c r="L12">
        <v>2.7509007152212794E+17</v>
      </c>
      <c r="M12">
        <v>112.7</v>
      </c>
      <c r="N12" s="2">
        <f t="shared" si="4"/>
        <v>751.3868230881867</v>
      </c>
      <c r="O12" s="10">
        <v>52.8</v>
      </c>
      <c r="P12" s="8">
        <v>80.3</v>
      </c>
      <c r="Q12" s="8">
        <f>2.951*10^(17)</f>
        <v>2.951E+17</v>
      </c>
      <c r="R12" s="19">
        <v>52.8</v>
      </c>
      <c r="S12">
        <v>80.3</v>
      </c>
      <c r="T12">
        <f>2.951*10^(17)</f>
        <v>2.951E+17</v>
      </c>
      <c r="U12" s="10">
        <v>52.8</v>
      </c>
      <c r="V12" s="8">
        <v>80.3</v>
      </c>
      <c r="W12" s="8">
        <f>2.951*10^(17)</f>
        <v>2.951E+17</v>
      </c>
      <c r="X12" s="19">
        <v>52.8</v>
      </c>
      <c r="Y12" s="21">
        <v>80.3</v>
      </c>
      <c r="Z12" s="6">
        <f>2.951*10^(17)</f>
        <v>2.951E+17</v>
      </c>
    </row>
    <row r="13" spans="1:26" s="3" customFormat="1" x14ac:dyDescent="0.2">
      <c r="A13" s="3" t="s">
        <v>24</v>
      </c>
      <c r="B13" s="3">
        <v>1000</v>
      </c>
      <c r="C13" s="3">
        <v>1.9320958197359247E+18</v>
      </c>
      <c r="D13" s="4">
        <f t="shared" si="0"/>
        <v>763.59814861698794</v>
      </c>
      <c r="E13" s="4">
        <v>5243145273734073</v>
      </c>
      <c r="F13" s="4">
        <f t="shared" si="1"/>
        <v>2.0460630012080827</v>
      </c>
      <c r="G13" s="4">
        <f t="shared" si="2"/>
        <v>765.64421161819598</v>
      </c>
      <c r="H13" s="4">
        <v>7.550407098360425E+17</v>
      </c>
      <c r="I13" s="4">
        <f t="shared" si="3"/>
        <v>290.88250528389551</v>
      </c>
      <c r="J13" s="3">
        <v>3.056556350245865E+17</v>
      </c>
      <c r="K13" s="3">
        <v>111.8</v>
      </c>
      <c r="L13" s="3">
        <v>3.056556350245865E+17</v>
      </c>
      <c r="M13" s="3">
        <v>112.8</v>
      </c>
      <c r="N13" s="5">
        <f t="shared" si="4"/>
        <v>834.8742478757631</v>
      </c>
      <c r="O13" s="11">
        <v>53.4</v>
      </c>
      <c r="P13" s="9">
        <v>81.900000000000006</v>
      </c>
      <c r="Q13" s="9">
        <f>3.279*10^(17)</f>
        <v>3.279E+17</v>
      </c>
      <c r="R13" s="20">
        <v>53.4</v>
      </c>
      <c r="S13" s="3">
        <v>81.900000000000006</v>
      </c>
      <c r="T13" s="3">
        <f>3.279*10^(17)</f>
        <v>3.279E+17</v>
      </c>
      <c r="U13" s="11">
        <v>53.4</v>
      </c>
      <c r="V13" s="9">
        <v>81.900000000000006</v>
      </c>
      <c r="W13" s="9">
        <f>3.279*10^(17)</f>
        <v>3.279E+17</v>
      </c>
      <c r="X13" s="20">
        <v>53.4</v>
      </c>
      <c r="Y13" s="3">
        <v>81.900000000000006</v>
      </c>
      <c r="Z13" s="7">
        <f>3.279*10^(17)</f>
        <v>3.279E+17</v>
      </c>
    </row>
    <row r="14" spans="1:26" x14ac:dyDescent="0.2">
      <c r="A14" t="s">
        <v>26</v>
      </c>
      <c r="B14">
        <v>10</v>
      </c>
      <c r="C14">
        <v>1.9320958197359248E+16</v>
      </c>
      <c r="D14" s="1">
        <f t="shared" si="0"/>
        <v>7.6359814861698787</v>
      </c>
      <c r="E14" s="1">
        <v>52431452737340.703</v>
      </c>
      <c r="F14" s="1">
        <f t="shared" si="1"/>
        <v>2.0460630012080813E-2</v>
      </c>
      <c r="G14" s="1">
        <f t="shared" si="2"/>
        <v>7.6564421161819594</v>
      </c>
      <c r="H14" s="1">
        <v>7550407098360421</v>
      </c>
      <c r="I14" s="1">
        <f t="shared" si="3"/>
        <v>2.9088250528389534</v>
      </c>
      <c r="J14">
        <v>3278948180530524</v>
      </c>
      <c r="K14">
        <v>116.2</v>
      </c>
      <c r="L14">
        <v>3278948180530524</v>
      </c>
      <c r="M14">
        <v>117.4</v>
      </c>
      <c r="N14" s="2">
        <f t="shared" si="4"/>
        <v>8.3487424787576305</v>
      </c>
      <c r="O14" s="10">
        <v>21</v>
      </c>
      <c r="P14" s="8">
        <v>31.6</v>
      </c>
      <c r="Q14" s="8">
        <f>3.455*10^(15)</f>
        <v>3455000000000000</v>
      </c>
      <c r="R14" s="19">
        <v>21</v>
      </c>
      <c r="S14">
        <v>31.6</v>
      </c>
      <c r="T14">
        <f>3.455*10^(15)</f>
        <v>3455000000000000</v>
      </c>
      <c r="U14" s="10">
        <v>21</v>
      </c>
      <c r="V14" s="8">
        <v>31.6</v>
      </c>
      <c r="W14" s="8">
        <f>3.455*10^(15)</f>
        <v>3455000000000000</v>
      </c>
      <c r="X14" s="19">
        <v>21</v>
      </c>
      <c r="Y14" s="21">
        <v>31.6</v>
      </c>
      <c r="Z14" s="6">
        <f>3.455*10^(15)</f>
        <v>3455000000000000</v>
      </c>
    </row>
    <row r="15" spans="1:26" x14ac:dyDescent="0.2">
      <c r="A15" t="s">
        <v>26</v>
      </c>
      <c r="B15">
        <v>50</v>
      </c>
      <c r="C15">
        <v>9.6604790986796224E+16</v>
      </c>
      <c r="D15" s="1">
        <f t="shared" si="0"/>
        <v>38.17990743084939</v>
      </c>
      <c r="E15" s="1">
        <v>262157263686704</v>
      </c>
      <c r="F15" s="1">
        <f t="shared" si="1"/>
        <v>0.10230315006040426</v>
      </c>
      <c r="G15" s="1">
        <f t="shared" si="2"/>
        <v>38.282210580909798</v>
      </c>
      <c r="H15" s="1">
        <v>3.7752035491802144E+16</v>
      </c>
      <c r="I15" s="1">
        <f t="shared" si="3"/>
        <v>14.544125264194783</v>
      </c>
      <c r="J15">
        <v>1.639474090265263E+16</v>
      </c>
      <c r="K15">
        <v>117.5</v>
      </c>
      <c r="L15">
        <v>1.639474090265263E+16</v>
      </c>
      <c r="M15">
        <v>118.7</v>
      </c>
      <c r="N15" s="2">
        <f t="shared" si="4"/>
        <v>41.743712393788158</v>
      </c>
      <c r="O15" s="10">
        <v>32.4</v>
      </c>
      <c r="P15" s="8">
        <v>44.2</v>
      </c>
      <c r="Q15" s="8">
        <f>1.728*10^(16)</f>
        <v>1.728E+16</v>
      </c>
      <c r="R15" s="19">
        <v>32.4</v>
      </c>
      <c r="S15">
        <v>44.2</v>
      </c>
      <c r="T15">
        <f>1.728*10^(16)</f>
        <v>1.728E+16</v>
      </c>
      <c r="U15" s="10">
        <v>32.4</v>
      </c>
      <c r="V15" s="8">
        <v>44.2</v>
      </c>
      <c r="W15" s="8">
        <f>1.728*10^(16)</f>
        <v>1.728E+16</v>
      </c>
      <c r="X15" s="19">
        <v>32.4</v>
      </c>
      <c r="Y15" s="21">
        <v>44.2</v>
      </c>
      <c r="Z15" s="6">
        <f>1.728*10^(16)</f>
        <v>1.728E+16</v>
      </c>
    </row>
    <row r="16" spans="1:26" x14ac:dyDescent="0.2">
      <c r="A16" t="s">
        <v>26</v>
      </c>
      <c r="B16">
        <v>100</v>
      </c>
      <c r="C16">
        <v>1.9320958197359245E+17</v>
      </c>
      <c r="D16" s="1">
        <f t="shared" si="0"/>
        <v>76.35981486169878</v>
      </c>
      <c r="E16" s="1">
        <v>524314527373407</v>
      </c>
      <c r="F16" s="1">
        <f t="shared" si="1"/>
        <v>0.20460630012080813</v>
      </c>
      <c r="G16" s="1">
        <f t="shared" si="2"/>
        <v>76.564421161819581</v>
      </c>
      <c r="H16" s="1">
        <v>7.5504070983604288E+16</v>
      </c>
      <c r="I16" s="1">
        <f t="shared" si="3"/>
        <v>29.088250528389565</v>
      </c>
      <c r="J16">
        <v>3.278948180530526E+16</v>
      </c>
      <c r="K16">
        <v>118</v>
      </c>
      <c r="L16">
        <v>3.278948180530526E+16</v>
      </c>
      <c r="M16">
        <v>119.4</v>
      </c>
      <c r="N16" s="2">
        <f t="shared" si="4"/>
        <v>83.487424787576302</v>
      </c>
      <c r="O16" s="10">
        <v>37.6</v>
      </c>
      <c r="P16" s="8">
        <v>49.9</v>
      </c>
      <c r="Q16" s="8">
        <f>3.456*10^(16)</f>
        <v>3.456E+16</v>
      </c>
      <c r="R16" s="19">
        <v>37.6</v>
      </c>
      <c r="S16">
        <v>49.9</v>
      </c>
      <c r="T16">
        <f>3.456*10^(16)</f>
        <v>3.456E+16</v>
      </c>
      <c r="U16" s="10">
        <v>37.6</v>
      </c>
      <c r="V16" s="8">
        <v>49.9</v>
      </c>
      <c r="W16" s="8">
        <f>3.456*10^(16)</f>
        <v>3.456E+16</v>
      </c>
      <c r="X16" s="19">
        <v>37.6</v>
      </c>
      <c r="Y16" s="21">
        <v>49.9</v>
      </c>
      <c r="Z16" s="6">
        <f>3.456*10^(16)</f>
        <v>3.456E+16</v>
      </c>
    </row>
    <row r="17" spans="1:26" x14ac:dyDescent="0.2">
      <c r="A17" t="s">
        <v>26</v>
      </c>
      <c r="B17">
        <v>200</v>
      </c>
      <c r="C17">
        <v>3.864191639471849E+17</v>
      </c>
      <c r="D17" s="1">
        <f t="shared" si="0"/>
        <v>152.71962972339756</v>
      </c>
      <c r="E17" s="1">
        <v>1048629054746814</v>
      </c>
      <c r="F17" s="1">
        <f t="shared" si="1"/>
        <v>0.40921260024161626</v>
      </c>
      <c r="G17" s="1">
        <f t="shared" si="2"/>
        <v>153.12884232363916</v>
      </c>
      <c r="H17" s="1">
        <v>1.5100814196720858E+17</v>
      </c>
      <c r="I17" s="1">
        <f t="shared" si="3"/>
        <v>58.176501056779131</v>
      </c>
      <c r="J17">
        <v>6.557896361061052E+16</v>
      </c>
      <c r="K17">
        <v>118.6</v>
      </c>
      <c r="L17">
        <v>6.557896361061052E+16</v>
      </c>
      <c r="M17">
        <v>120</v>
      </c>
      <c r="N17" s="2">
        <f t="shared" si="4"/>
        <v>166.9748495751526</v>
      </c>
      <c r="O17" s="10">
        <v>42.9</v>
      </c>
      <c r="P17" s="8">
        <v>55.9</v>
      </c>
      <c r="Q17" s="8">
        <f>6.913*10^(16)</f>
        <v>6.913E+16</v>
      </c>
      <c r="R17" s="19">
        <v>42.9</v>
      </c>
      <c r="S17">
        <v>55.9</v>
      </c>
      <c r="T17">
        <f>6.913*10^(16)</f>
        <v>6.913E+16</v>
      </c>
      <c r="U17" s="10">
        <v>42.9</v>
      </c>
      <c r="V17" s="8">
        <v>55.9</v>
      </c>
      <c r="W17" s="8">
        <f>6.913*10^(16)</f>
        <v>6.913E+16</v>
      </c>
      <c r="X17" s="19">
        <v>42.9</v>
      </c>
      <c r="Y17" s="21">
        <v>55.9</v>
      </c>
      <c r="Z17" s="6">
        <f>6.913*10^(16)</f>
        <v>6.913E+16</v>
      </c>
    </row>
    <row r="18" spans="1:26" x14ac:dyDescent="0.2">
      <c r="A18" t="s">
        <v>26</v>
      </c>
      <c r="B18">
        <v>300</v>
      </c>
      <c r="C18">
        <v>5.7962874592077747E+17</v>
      </c>
      <c r="D18" s="1">
        <f t="shared" si="0"/>
        <v>229.07944458509638</v>
      </c>
      <c r="E18" s="1">
        <v>1572943582120222</v>
      </c>
      <c r="F18" s="1">
        <f t="shared" si="1"/>
        <v>0.61381890036242481</v>
      </c>
      <c r="G18" s="1">
        <f t="shared" si="2"/>
        <v>229.6932634854588</v>
      </c>
      <c r="H18" s="1">
        <v>2.2651221295081299E+17</v>
      </c>
      <c r="I18" s="1">
        <f t="shared" si="3"/>
        <v>87.264751585168739</v>
      </c>
      <c r="J18">
        <v>9.836844541591584E+16</v>
      </c>
      <c r="K18">
        <v>119</v>
      </c>
      <c r="L18">
        <v>9.836844541591584E+16</v>
      </c>
      <c r="M18">
        <v>120.4</v>
      </c>
      <c r="N18" s="2">
        <f t="shared" si="4"/>
        <v>250.46227436272895</v>
      </c>
      <c r="O18" s="10">
        <v>45.9</v>
      </c>
      <c r="P18" s="8">
        <v>61.9</v>
      </c>
      <c r="Q18" s="8">
        <f>1.037*10^(17)</f>
        <v>1.037E+17</v>
      </c>
      <c r="R18" s="19">
        <v>45.9</v>
      </c>
      <c r="S18">
        <v>61.9</v>
      </c>
      <c r="T18">
        <f>1.037*10^(17)</f>
        <v>1.037E+17</v>
      </c>
      <c r="U18" s="10">
        <v>45.9</v>
      </c>
      <c r="V18" s="8">
        <v>61.9</v>
      </c>
      <c r="W18" s="8">
        <f>1.037*10^(17)</f>
        <v>1.037E+17</v>
      </c>
      <c r="X18" s="19">
        <v>45.9</v>
      </c>
      <c r="Y18" s="21">
        <v>61.9</v>
      </c>
      <c r="Z18" s="6">
        <f>1.037*10^(17)</f>
        <v>1.037E+17</v>
      </c>
    </row>
    <row r="19" spans="1:26" x14ac:dyDescent="0.2">
      <c r="A19" t="s">
        <v>26</v>
      </c>
      <c r="B19">
        <v>400</v>
      </c>
      <c r="C19">
        <v>7.7283832789436979E+17</v>
      </c>
      <c r="D19" s="1">
        <f t="shared" si="0"/>
        <v>305.43925944679512</v>
      </c>
      <c r="E19" s="1">
        <v>2097258109493629</v>
      </c>
      <c r="F19" s="1">
        <f t="shared" si="1"/>
        <v>0.81842520048323297</v>
      </c>
      <c r="G19" s="1">
        <f t="shared" si="2"/>
        <v>306.25768464727832</v>
      </c>
      <c r="H19" s="1">
        <v>3.0201628393441715E+17</v>
      </c>
      <c r="I19" s="1">
        <f t="shared" si="3"/>
        <v>116.35300211355826</v>
      </c>
      <c r="J19">
        <v>1.3115792722122104E+17</v>
      </c>
      <c r="K19">
        <v>119.3</v>
      </c>
      <c r="L19">
        <v>1.3115792722122104E+17</v>
      </c>
      <c r="M19">
        <v>120.7</v>
      </c>
      <c r="N19" s="2">
        <f t="shared" si="4"/>
        <v>333.94969915030521</v>
      </c>
      <c r="O19" s="10">
        <v>48</v>
      </c>
      <c r="P19" s="8">
        <v>67.900000000000006</v>
      </c>
      <c r="Q19" s="8">
        <f>1.383*10^(17)</f>
        <v>1.383E+17</v>
      </c>
      <c r="R19" s="19">
        <v>48</v>
      </c>
      <c r="S19">
        <v>67.900000000000006</v>
      </c>
      <c r="T19">
        <f>1.383*10^(17)</f>
        <v>1.383E+17</v>
      </c>
      <c r="U19" s="10">
        <v>48</v>
      </c>
      <c r="V19" s="8">
        <v>67.900000000000006</v>
      </c>
      <c r="W19" s="8">
        <f>1.383*10^(17)</f>
        <v>1.383E+17</v>
      </c>
      <c r="X19" s="19">
        <v>48</v>
      </c>
      <c r="Y19" s="21">
        <v>67.900000000000006</v>
      </c>
      <c r="Z19" s="6">
        <f>1.383*10^(17)</f>
        <v>1.383E+17</v>
      </c>
    </row>
    <row r="20" spans="1:26" x14ac:dyDescent="0.2">
      <c r="A20" t="s">
        <v>26</v>
      </c>
      <c r="B20">
        <v>500</v>
      </c>
      <c r="C20">
        <v>9.6604790986796237E+17</v>
      </c>
      <c r="D20" s="1">
        <f t="shared" si="0"/>
        <v>381.79907430849397</v>
      </c>
      <c r="E20" s="1">
        <v>2621572636867036</v>
      </c>
      <c r="F20" s="1">
        <f t="shared" si="1"/>
        <v>1.0230315006040411</v>
      </c>
      <c r="G20" s="1">
        <f t="shared" si="2"/>
        <v>382.82210580909799</v>
      </c>
      <c r="H20" s="1">
        <v>3.7752035491802125E+17</v>
      </c>
      <c r="I20" s="1">
        <f t="shared" si="3"/>
        <v>145.44125264194776</v>
      </c>
      <c r="J20">
        <v>1.6394740902652643E+17</v>
      </c>
      <c r="K20">
        <v>119.5</v>
      </c>
      <c r="L20">
        <v>1.6394740902652643E+17</v>
      </c>
      <c r="M20">
        <v>120.9</v>
      </c>
      <c r="N20" s="2">
        <f t="shared" si="4"/>
        <v>417.43712393788155</v>
      </c>
      <c r="O20" s="10">
        <v>49.6</v>
      </c>
      <c r="P20" s="8">
        <v>72.900000000000006</v>
      </c>
      <c r="Q20" s="8">
        <f>1.728*10^(17)</f>
        <v>1.728E+17</v>
      </c>
      <c r="R20" s="19">
        <v>49.6</v>
      </c>
      <c r="S20">
        <v>72.900000000000006</v>
      </c>
      <c r="T20">
        <f>1.728*10^(17)</f>
        <v>1.728E+17</v>
      </c>
      <c r="U20" s="10">
        <v>49.6</v>
      </c>
      <c r="V20" s="8">
        <v>72.900000000000006</v>
      </c>
      <c r="W20" s="8">
        <f>1.728*10^(17)</f>
        <v>1.728E+17</v>
      </c>
      <c r="X20" s="19">
        <v>49.6</v>
      </c>
      <c r="Y20" s="21">
        <v>72.900000000000006</v>
      </c>
      <c r="Z20" s="6">
        <f>1.728*10^(17)</f>
        <v>1.728E+17</v>
      </c>
    </row>
    <row r="21" spans="1:26" x14ac:dyDescent="0.2">
      <c r="A21" t="s">
        <v>26</v>
      </c>
      <c r="B21">
        <v>600</v>
      </c>
      <c r="C21">
        <v>1.1592574918415549E+18</v>
      </c>
      <c r="D21" s="1">
        <f t="shared" si="0"/>
        <v>458.15888917019277</v>
      </c>
      <c r="E21" s="1">
        <v>3145887164240444</v>
      </c>
      <c r="F21" s="1">
        <f t="shared" si="1"/>
        <v>1.2276378007248496</v>
      </c>
      <c r="G21" s="1">
        <f t="shared" si="2"/>
        <v>459.3865269709176</v>
      </c>
      <c r="H21" s="1">
        <v>4.5302442590162598E+17</v>
      </c>
      <c r="I21" s="1">
        <f t="shared" si="3"/>
        <v>174.52950317033748</v>
      </c>
      <c r="J21">
        <v>1.9673689083183168E+17</v>
      </c>
      <c r="K21">
        <v>119.6</v>
      </c>
      <c r="L21">
        <v>1.9673689083183168E+17</v>
      </c>
      <c r="M21">
        <v>121.1</v>
      </c>
      <c r="N21" s="2">
        <f t="shared" si="4"/>
        <v>500.9245487254579</v>
      </c>
      <c r="O21" s="10">
        <v>50.8</v>
      </c>
      <c r="P21" s="8">
        <v>76.7</v>
      </c>
      <c r="Q21" s="8">
        <f>2.074*10^(17)</f>
        <v>2.074E+17</v>
      </c>
      <c r="R21" s="19">
        <v>50.8</v>
      </c>
      <c r="S21">
        <v>76.7</v>
      </c>
      <c r="T21">
        <f>2.074*10^(17)</f>
        <v>2.074E+17</v>
      </c>
      <c r="U21" s="10">
        <v>50.8</v>
      </c>
      <c r="V21" s="8">
        <v>76.7</v>
      </c>
      <c r="W21" s="8">
        <f>2.074*10^(17)</f>
        <v>2.074E+17</v>
      </c>
      <c r="X21" s="19">
        <v>50.8</v>
      </c>
      <c r="Y21" s="21">
        <v>76.7</v>
      </c>
      <c r="Z21" s="6">
        <f>2.074*10^(17)</f>
        <v>2.074E+17</v>
      </c>
    </row>
    <row r="22" spans="1:26" x14ac:dyDescent="0.2">
      <c r="A22" t="s">
        <v>26</v>
      </c>
      <c r="B22">
        <v>700</v>
      </c>
      <c r="C22">
        <v>1.3524670738151473E+18</v>
      </c>
      <c r="D22" s="1">
        <f t="shared" si="0"/>
        <v>534.5187040318915</v>
      </c>
      <c r="E22" s="1">
        <v>3670201691613851</v>
      </c>
      <c r="F22" s="1">
        <f t="shared" si="1"/>
        <v>1.4322441008456577</v>
      </c>
      <c r="G22" s="1">
        <f t="shared" si="2"/>
        <v>535.95094813273715</v>
      </c>
      <c r="H22" s="1">
        <v>5.2852849688522957E+17</v>
      </c>
      <c r="I22" s="1">
        <f t="shared" si="3"/>
        <v>203.61775369872677</v>
      </c>
      <c r="J22">
        <v>2.2952637263713642E+17</v>
      </c>
      <c r="K22">
        <v>119.8</v>
      </c>
      <c r="L22">
        <v>2.2952637263713642E+17</v>
      </c>
      <c r="M22">
        <v>121.2</v>
      </c>
      <c r="N22" s="2">
        <f t="shared" si="4"/>
        <v>584.41197351303413</v>
      </c>
      <c r="O22" s="10">
        <v>51.8</v>
      </c>
      <c r="P22" s="8">
        <v>79.599999999999994</v>
      </c>
      <c r="Q22" s="8">
        <f>2.419*10^(17)</f>
        <v>2.419E+17</v>
      </c>
      <c r="R22" s="19">
        <v>51.8</v>
      </c>
      <c r="S22">
        <v>79.599999999999994</v>
      </c>
      <c r="T22">
        <f>2.419*10^(17)</f>
        <v>2.419E+17</v>
      </c>
      <c r="U22" s="10">
        <v>51.8</v>
      </c>
      <c r="V22" s="8">
        <v>79.599999999999994</v>
      </c>
      <c r="W22" s="8">
        <f>2.419*10^(17)</f>
        <v>2.419E+17</v>
      </c>
      <c r="X22" s="19">
        <v>51.8</v>
      </c>
      <c r="Y22" s="21">
        <v>79.599999999999994</v>
      </c>
      <c r="Z22" s="6">
        <f>2.419*10^(17)</f>
        <v>2.419E+17</v>
      </c>
    </row>
    <row r="23" spans="1:26" x14ac:dyDescent="0.2">
      <c r="A23" t="s">
        <v>26</v>
      </c>
      <c r="B23">
        <v>800</v>
      </c>
      <c r="C23">
        <v>1.5456766557887396E+18</v>
      </c>
      <c r="D23" s="1">
        <f t="shared" si="0"/>
        <v>610.87851889359024</v>
      </c>
      <c r="E23" s="1">
        <v>4194516218987258</v>
      </c>
      <c r="F23" s="1">
        <f t="shared" si="1"/>
        <v>1.6368504009664659</v>
      </c>
      <c r="G23" s="1">
        <f t="shared" si="2"/>
        <v>612.51536929455665</v>
      </c>
      <c r="H23" s="1">
        <v>6.040325678688343E+17</v>
      </c>
      <c r="I23" s="1">
        <f t="shared" si="3"/>
        <v>232.70600422711652</v>
      </c>
      <c r="J23">
        <v>2.6231585444244208E+17</v>
      </c>
      <c r="K23">
        <v>119.9</v>
      </c>
      <c r="L23">
        <v>2.6231585444244208E+17</v>
      </c>
      <c r="M23">
        <v>121.4</v>
      </c>
      <c r="N23" s="2">
        <f t="shared" si="4"/>
        <v>667.89939830061041</v>
      </c>
      <c r="O23" s="10">
        <v>52.6</v>
      </c>
      <c r="P23" s="8">
        <v>82</v>
      </c>
      <c r="Q23" s="8">
        <f>2.765*10^(17)</f>
        <v>2.765E+17</v>
      </c>
      <c r="R23" s="19">
        <v>52.6</v>
      </c>
      <c r="S23">
        <v>82</v>
      </c>
      <c r="T23">
        <f>2.765*10^(17)</f>
        <v>2.765E+17</v>
      </c>
      <c r="U23" s="10">
        <v>52.6</v>
      </c>
      <c r="V23" s="8">
        <v>82</v>
      </c>
      <c r="W23" s="8">
        <f>2.765*10^(17)</f>
        <v>2.765E+17</v>
      </c>
      <c r="X23" s="19">
        <v>52.6</v>
      </c>
      <c r="Y23" s="21">
        <v>82</v>
      </c>
      <c r="Z23" s="6">
        <f>2.765*10^(17)</f>
        <v>2.765E+17</v>
      </c>
    </row>
    <row r="24" spans="1:26" x14ac:dyDescent="0.2">
      <c r="A24" t="s">
        <v>26</v>
      </c>
      <c r="B24">
        <v>900</v>
      </c>
      <c r="C24">
        <v>1.7388862377623322E+18</v>
      </c>
      <c r="D24" s="1">
        <f t="shared" si="0"/>
        <v>687.23833375528909</v>
      </c>
      <c r="E24" s="1">
        <v>4718830746360665</v>
      </c>
      <c r="F24" s="1">
        <f t="shared" si="1"/>
        <v>1.8414567010872738</v>
      </c>
      <c r="G24" s="1">
        <f t="shared" si="2"/>
        <v>689.07979045637637</v>
      </c>
      <c r="H24" s="1">
        <v>6.7953663885243789E+17</v>
      </c>
      <c r="I24" s="1">
        <f t="shared" si="3"/>
        <v>261.79425475550585</v>
      </c>
      <c r="J24">
        <v>2.9510533624774739E+17</v>
      </c>
      <c r="K24">
        <v>120</v>
      </c>
      <c r="L24">
        <v>2.9510533624774739E+17</v>
      </c>
      <c r="M24">
        <v>121.5</v>
      </c>
      <c r="N24" s="2">
        <f t="shared" si="4"/>
        <v>751.3868230881867</v>
      </c>
      <c r="O24" s="10">
        <v>53.3</v>
      </c>
      <c r="P24" s="8">
        <v>83.8</v>
      </c>
      <c r="Q24" s="8">
        <f>3.111*10^(17)</f>
        <v>3.111E+17</v>
      </c>
      <c r="R24" s="19">
        <v>53.3</v>
      </c>
      <c r="S24">
        <v>83.8</v>
      </c>
      <c r="T24">
        <f>3.111*10^(17)</f>
        <v>3.111E+17</v>
      </c>
      <c r="U24" s="10">
        <v>53.3</v>
      </c>
      <c r="V24" s="8">
        <v>83.8</v>
      </c>
      <c r="W24" s="8">
        <f>3.111*10^(17)</f>
        <v>3.111E+17</v>
      </c>
      <c r="X24" s="19">
        <v>53.3</v>
      </c>
      <c r="Y24" s="21">
        <v>83.8</v>
      </c>
      <c r="Z24" s="6">
        <f>3.111*10^(17)</f>
        <v>3.111E+17</v>
      </c>
    </row>
    <row r="25" spans="1:26" s="3" customFormat="1" x14ac:dyDescent="0.2">
      <c r="A25" s="3" t="s">
        <v>26</v>
      </c>
      <c r="B25" s="3">
        <v>1000</v>
      </c>
      <c r="C25" s="3">
        <v>1.9320958197359247E+18</v>
      </c>
      <c r="D25" s="4">
        <f t="shared" si="0"/>
        <v>763.59814861698794</v>
      </c>
      <c r="E25" s="4">
        <v>5243145273734073</v>
      </c>
      <c r="F25" s="4">
        <f t="shared" si="1"/>
        <v>2.0460630012080827</v>
      </c>
      <c r="G25" s="4">
        <f t="shared" si="2"/>
        <v>765.64421161819598</v>
      </c>
      <c r="H25" s="4">
        <v>7.550407098360425E+17</v>
      </c>
      <c r="I25" s="4">
        <f t="shared" si="3"/>
        <v>290.88250528389551</v>
      </c>
      <c r="J25" s="3">
        <v>3.2789481805305286E+17</v>
      </c>
      <c r="K25" s="3">
        <v>120.1</v>
      </c>
      <c r="L25" s="3">
        <v>3.2789481805305286E+17</v>
      </c>
      <c r="M25" s="3">
        <v>121.6</v>
      </c>
      <c r="N25" s="5">
        <f t="shared" si="4"/>
        <v>834.8742478757631</v>
      </c>
      <c r="O25" s="11">
        <v>54</v>
      </c>
      <c r="P25" s="9">
        <v>85.4</v>
      </c>
      <c r="Q25" s="9">
        <f>3.456*10^(17)</f>
        <v>3.456E+17</v>
      </c>
      <c r="R25" s="20">
        <v>54</v>
      </c>
      <c r="S25" s="3">
        <v>85.4</v>
      </c>
      <c r="T25" s="3">
        <f>3.456*10^(17)</f>
        <v>3.456E+17</v>
      </c>
      <c r="U25" s="11">
        <v>54</v>
      </c>
      <c r="V25" s="9">
        <v>85.4</v>
      </c>
      <c r="W25" s="9">
        <f>3.456*10^(17)</f>
        <v>3.456E+17</v>
      </c>
      <c r="X25" s="20">
        <v>54</v>
      </c>
      <c r="Y25" s="3">
        <v>85.4</v>
      </c>
      <c r="Z25" s="7">
        <f>3.456*10^(17)</f>
        <v>3.456E+17</v>
      </c>
    </row>
    <row r="26" spans="1:26" x14ac:dyDescent="0.2">
      <c r="A26" t="s">
        <v>5</v>
      </c>
      <c r="B26">
        <v>10</v>
      </c>
      <c r="C26">
        <v>1.9320958197359248E+16</v>
      </c>
      <c r="D26" s="1">
        <f t="shared" si="0"/>
        <v>7.6359814861698787</v>
      </c>
      <c r="E26" s="1">
        <v>52431452737340.703</v>
      </c>
      <c r="F26" s="1">
        <f t="shared" si="1"/>
        <v>2.0460630012080813E-2</v>
      </c>
      <c r="G26" s="1">
        <f t="shared" si="2"/>
        <v>7.6564421161819594</v>
      </c>
      <c r="H26" s="1">
        <v>7550407098360421</v>
      </c>
      <c r="I26" s="1">
        <f t="shared" si="3"/>
        <v>2.9088250528389534</v>
      </c>
      <c r="J26">
        <v>3327202303653512</v>
      </c>
      <c r="K26">
        <v>117.8</v>
      </c>
      <c r="L26">
        <v>3327202303653512</v>
      </c>
      <c r="M26">
        <v>119</v>
      </c>
      <c r="N26" s="2">
        <f t="shared" si="4"/>
        <v>8.3487424787576305</v>
      </c>
      <c r="O26" s="10">
        <v>21.4</v>
      </c>
      <c r="P26" s="8">
        <v>31.8</v>
      </c>
      <c r="Q26" s="8">
        <f>3.49*10^(15)</f>
        <v>3490000000000000</v>
      </c>
      <c r="R26" s="19">
        <v>21.1</v>
      </c>
      <c r="S26">
        <v>31.8</v>
      </c>
      <c r="T26">
        <f>3.49*10^15</f>
        <v>3490000000000000</v>
      </c>
      <c r="U26" s="10">
        <v>21.1</v>
      </c>
      <c r="V26" s="8">
        <v>31.8</v>
      </c>
      <c r="W26" s="8">
        <f>3.49*10^(15)</f>
        <v>3490000000000000</v>
      </c>
      <c r="X26" s="19">
        <v>21.1</v>
      </c>
      <c r="Y26" s="21">
        <v>31.8</v>
      </c>
      <c r="Z26" s="6">
        <f>3.49*10^(15)</f>
        <v>3490000000000000</v>
      </c>
    </row>
    <row r="27" spans="1:26" x14ac:dyDescent="0.2">
      <c r="A27" t="s">
        <v>5</v>
      </c>
      <c r="B27">
        <v>50</v>
      </c>
      <c r="C27">
        <v>9.6604790986796224E+16</v>
      </c>
      <c r="D27" s="1">
        <f t="shared" si="0"/>
        <v>38.17990743084939</v>
      </c>
      <c r="E27" s="1">
        <v>262157263686704</v>
      </c>
      <c r="F27" s="1">
        <f t="shared" si="1"/>
        <v>0.10230315006040426</v>
      </c>
      <c r="G27" s="1">
        <f t="shared" si="2"/>
        <v>38.282210580909798</v>
      </c>
      <c r="H27" s="1">
        <v>3.7752035491802144E+16</v>
      </c>
      <c r="I27" s="1">
        <f t="shared" si="3"/>
        <v>14.544125264194783</v>
      </c>
      <c r="J27">
        <v>1.6636011518267584E+16</v>
      </c>
      <c r="K27">
        <v>119.1</v>
      </c>
      <c r="L27">
        <v>1.6636011518267584E+16</v>
      </c>
      <c r="M27">
        <v>120.5</v>
      </c>
      <c r="N27" s="2">
        <f t="shared" si="4"/>
        <v>41.743712393788158</v>
      </c>
      <c r="O27" s="10">
        <v>32.6</v>
      </c>
      <c r="P27" s="8">
        <v>44.5</v>
      </c>
      <c r="Q27" s="8">
        <f>1.745*10^(16)</f>
        <v>1.7450000000000002E+16</v>
      </c>
      <c r="R27" s="19">
        <v>32.6</v>
      </c>
      <c r="S27">
        <v>44.5</v>
      </c>
      <c r="T27">
        <f>1.745*10^(16)</f>
        <v>1.7450000000000002E+16</v>
      </c>
      <c r="U27" s="10">
        <v>32.6</v>
      </c>
      <c r="V27" s="8">
        <v>44.5</v>
      </c>
      <c r="W27" s="8">
        <f>1.745*10^(16)</f>
        <v>1.7450000000000002E+16</v>
      </c>
      <c r="X27" s="19">
        <v>32.6</v>
      </c>
      <c r="Y27" s="21">
        <v>44.5</v>
      </c>
      <c r="Z27" s="6">
        <f>1.745*10^(16)</f>
        <v>1.7450000000000002E+16</v>
      </c>
    </row>
    <row r="28" spans="1:26" x14ac:dyDescent="0.2">
      <c r="A28" t="s">
        <v>5</v>
      </c>
      <c r="B28">
        <v>100</v>
      </c>
      <c r="C28">
        <v>1.9320958197359245E+17</v>
      </c>
      <c r="D28" s="1">
        <f t="shared" si="0"/>
        <v>76.35981486169878</v>
      </c>
      <c r="E28" s="1">
        <v>524314527373407</v>
      </c>
      <c r="F28" s="1">
        <f t="shared" si="1"/>
        <v>0.20460630012080813</v>
      </c>
      <c r="G28" s="1">
        <f t="shared" si="2"/>
        <v>76.564421161819581</v>
      </c>
      <c r="H28" s="1">
        <v>7.5504070983604288E+16</v>
      </c>
      <c r="I28" s="1">
        <f t="shared" si="3"/>
        <v>29.088250528389565</v>
      </c>
      <c r="J28">
        <v>3.3272023036535168E+16</v>
      </c>
      <c r="K28">
        <v>119.8</v>
      </c>
      <c r="L28">
        <v>3.3272023036535168E+16</v>
      </c>
      <c r="M28">
        <v>121.2</v>
      </c>
      <c r="N28" s="2">
        <f t="shared" si="4"/>
        <v>83.487424787576302</v>
      </c>
      <c r="O28" s="10">
        <v>37.9</v>
      </c>
      <c r="P28" s="8">
        <v>50.2</v>
      </c>
      <c r="Q28" s="8">
        <f>3.491*10^(16)</f>
        <v>3.491E+16</v>
      </c>
      <c r="R28" s="19">
        <v>37.9</v>
      </c>
      <c r="S28">
        <v>50.2</v>
      </c>
      <c r="T28">
        <f>3.491*10^(16)</f>
        <v>3.491E+16</v>
      </c>
      <c r="U28" s="10">
        <v>37.9</v>
      </c>
      <c r="V28" s="8">
        <v>50.2</v>
      </c>
      <c r="W28" s="8">
        <f>3.491*10^(16)</f>
        <v>3.491E+16</v>
      </c>
      <c r="X28" s="19">
        <v>37.9</v>
      </c>
      <c r="Y28" s="21">
        <v>50.2</v>
      </c>
      <c r="Z28" s="6">
        <f>3.491*10^(16)</f>
        <v>3.491E+16</v>
      </c>
    </row>
    <row r="29" spans="1:26" x14ac:dyDescent="0.2">
      <c r="A29" t="s">
        <v>5</v>
      </c>
      <c r="B29">
        <v>200</v>
      </c>
      <c r="C29">
        <v>3.864191639471849E+17</v>
      </c>
      <c r="D29" s="1">
        <f t="shared" si="0"/>
        <v>152.71962972339756</v>
      </c>
      <c r="E29" s="1">
        <v>1048629054746814</v>
      </c>
      <c r="F29" s="1">
        <f t="shared" si="1"/>
        <v>0.40921260024161626</v>
      </c>
      <c r="G29" s="1">
        <f t="shared" si="2"/>
        <v>153.12884232363916</v>
      </c>
      <c r="H29" s="1">
        <v>1.5100814196720858E+17</v>
      </c>
      <c r="I29" s="1">
        <f t="shared" si="3"/>
        <v>58.176501056779131</v>
      </c>
      <c r="J29">
        <v>6.6544046073070336E+16</v>
      </c>
      <c r="K29">
        <v>120.4</v>
      </c>
      <c r="L29">
        <v>6.6544046073070336E+16</v>
      </c>
      <c r="M29">
        <v>121.9</v>
      </c>
      <c r="N29" s="2">
        <f t="shared" si="4"/>
        <v>166.9748495751526</v>
      </c>
      <c r="O29" s="10">
        <v>43.1</v>
      </c>
      <c r="P29" s="8">
        <v>56.3</v>
      </c>
      <c r="Q29" s="8">
        <f>6.981*10^(16)</f>
        <v>6.981E+16</v>
      </c>
      <c r="R29" s="19">
        <v>43.1</v>
      </c>
      <c r="S29">
        <v>56.3</v>
      </c>
      <c r="T29">
        <f>6.981*10^(16)</f>
        <v>6.981E+16</v>
      </c>
      <c r="U29" s="10">
        <v>43.1</v>
      </c>
      <c r="V29" s="8">
        <v>56.3</v>
      </c>
      <c r="W29" s="8">
        <f>6.981*10^(16)</f>
        <v>6.981E+16</v>
      </c>
      <c r="X29" s="19">
        <v>43.1</v>
      </c>
      <c r="Y29" s="21">
        <v>56.3</v>
      </c>
      <c r="Z29" s="6">
        <f>6.981*10^(16)</f>
        <v>6.981E+16</v>
      </c>
    </row>
    <row r="30" spans="1:26" x14ac:dyDescent="0.2">
      <c r="A30" t="s">
        <v>5</v>
      </c>
      <c r="B30">
        <v>300</v>
      </c>
      <c r="C30">
        <v>5.7962874592077747E+17</v>
      </c>
      <c r="D30" s="1">
        <f t="shared" si="0"/>
        <v>229.07944458509638</v>
      </c>
      <c r="E30" s="1">
        <v>1572943582120222</v>
      </c>
      <c r="F30" s="1">
        <f t="shared" si="1"/>
        <v>0.61381890036242481</v>
      </c>
      <c r="G30" s="1">
        <f t="shared" si="2"/>
        <v>229.6932634854588</v>
      </c>
      <c r="H30" s="1">
        <v>2.2651221295081299E+17</v>
      </c>
      <c r="I30" s="1">
        <f t="shared" si="3"/>
        <v>87.264751585168739</v>
      </c>
      <c r="J30">
        <v>9.9816069109605392E+16</v>
      </c>
      <c r="K30">
        <v>120.8</v>
      </c>
      <c r="L30">
        <v>9.9816069109605392E+16</v>
      </c>
      <c r="M30">
        <v>122.3</v>
      </c>
      <c r="N30" s="2">
        <f t="shared" si="4"/>
        <v>250.46227436272895</v>
      </c>
      <c r="O30" s="10">
        <v>46.2</v>
      </c>
      <c r="P30" s="8">
        <v>62.9</v>
      </c>
      <c r="Q30" s="8">
        <f>1.047*10^(17)</f>
        <v>1.047E+17</v>
      </c>
      <c r="R30" s="19">
        <v>46.2</v>
      </c>
      <c r="S30">
        <v>62.9</v>
      </c>
      <c r="T30">
        <f>1.047*10^(17)</f>
        <v>1.047E+17</v>
      </c>
      <c r="U30" s="10">
        <v>46.2</v>
      </c>
      <c r="V30" s="8">
        <v>62.9</v>
      </c>
      <c r="W30" s="8">
        <f>1.047*10^(17)</f>
        <v>1.047E+17</v>
      </c>
      <c r="X30" s="19">
        <v>46.2</v>
      </c>
      <c r="Y30" s="21">
        <v>62.9</v>
      </c>
      <c r="Z30" s="6">
        <f>1.047*10^(17)</f>
        <v>1.047E+17</v>
      </c>
    </row>
    <row r="31" spans="1:26" x14ac:dyDescent="0.2">
      <c r="A31" t="s">
        <v>5</v>
      </c>
      <c r="B31">
        <v>400</v>
      </c>
      <c r="C31">
        <v>7.7283832789436979E+17</v>
      </c>
      <c r="D31" s="1">
        <f t="shared" si="0"/>
        <v>305.43925944679512</v>
      </c>
      <c r="E31" s="1">
        <v>2097258109493629</v>
      </c>
      <c r="F31" s="1">
        <f t="shared" si="1"/>
        <v>0.81842520048323297</v>
      </c>
      <c r="G31" s="1">
        <f t="shared" si="2"/>
        <v>306.25768464727832</v>
      </c>
      <c r="H31" s="1">
        <v>3.0201628393441715E+17</v>
      </c>
      <c r="I31" s="1">
        <f t="shared" si="3"/>
        <v>116.35300211355826</v>
      </c>
      <c r="J31">
        <v>1.3308809214614067E+17</v>
      </c>
      <c r="K31">
        <v>121.1</v>
      </c>
      <c r="L31">
        <v>1.3308809214614067E+17</v>
      </c>
      <c r="M31">
        <v>122.6</v>
      </c>
      <c r="N31" s="2">
        <f t="shared" si="4"/>
        <v>333.94969915030521</v>
      </c>
      <c r="O31" s="10">
        <v>48.2</v>
      </c>
      <c r="P31" s="8">
        <v>69.2</v>
      </c>
      <c r="Q31" s="8">
        <f>1.396*10^(17)</f>
        <v>1.3959999999999998E+17</v>
      </c>
      <c r="R31" s="19">
        <v>48.2</v>
      </c>
      <c r="S31">
        <v>69.2</v>
      </c>
      <c r="T31">
        <f>1.396*10^(17)</f>
        <v>1.3959999999999998E+17</v>
      </c>
      <c r="U31" s="10">
        <v>48.2</v>
      </c>
      <c r="V31" s="8">
        <v>69.2</v>
      </c>
      <c r="W31" s="8">
        <f>1.396*10^(17)</f>
        <v>1.3959999999999998E+17</v>
      </c>
      <c r="X31" s="19">
        <v>48.2</v>
      </c>
      <c r="Y31" s="21">
        <v>69.2</v>
      </c>
      <c r="Z31" s="6">
        <f>1.396*10^(17)</f>
        <v>1.3959999999999998E+17</v>
      </c>
    </row>
    <row r="32" spans="1:26" x14ac:dyDescent="0.2">
      <c r="A32" t="s">
        <v>5</v>
      </c>
      <c r="B32">
        <v>500</v>
      </c>
      <c r="C32">
        <v>9.6604790986796237E+17</v>
      </c>
      <c r="D32" s="1">
        <f t="shared" si="0"/>
        <v>381.79907430849397</v>
      </c>
      <c r="E32" s="1">
        <v>2621572636867036</v>
      </c>
      <c r="F32" s="1">
        <f t="shared" si="1"/>
        <v>1.0230315006040411</v>
      </c>
      <c r="G32" s="1">
        <f t="shared" si="2"/>
        <v>382.82210580909799</v>
      </c>
      <c r="H32" s="1">
        <v>3.7752035491802125E+17</v>
      </c>
      <c r="I32" s="1">
        <f t="shared" si="3"/>
        <v>145.44125264194776</v>
      </c>
      <c r="J32">
        <v>1.6636011518267552E+17</v>
      </c>
      <c r="K32">
        <v>121.3</v>
      </c>
      <c r="L32">
        <v>1.6636011518267552E+17</v>
      </c>
      <c r="M32">
        <v>122.8</v>
      </c>
      <c r="N32" s="2">
        <f t="shared" si="4"/>
        <v>417.43712393788155</v>
      </c>
      <c r="O32" s="10">
        <v>49.8</v>
      </c>
      <c r="P32" s="8">
        <v>74.2</v>
      </c>
      <c r="Q32" s="8">
        <f>1.745*10^(17)</f>
        <v>1.745E+17</v>
      </c>
      <c r="R32" s="19">
        <v>49.8</v>
      </c>
      <c r="S32">
        <v>74.2</v>
      </c>
      <c r="T32">
        <f>1.745*10^(17)</f>
        <v>1.745E+17</v>
      </c>
      <c r="U32" s="10">
        <v>49.8</v>
      </c>
      <c r="V32" s="8">
        <v>74.2</v>
      </c>
      <c r="W32" s="8">
        <f>1.745*10^(17)</f>
        <v>1.745E+17</v>
      </c>
      <c r="X32" s="19">
        <v>49.8</v>
      </c>
      <c r="Y32" s="21">
        <v>74.2</v>
      </c>
      <c r="Z32" s="6">
        <f>1.745*10^(17)</f>
        <v>1.745E+17</v>
      </c>
    </row>
    <row r="33" spans="1:26" x14ac:dyDescent="0.2">
      <c r="A33" t="s">
        <v>5</v>
      </c>
      <c r="B33">
        <v>600</v>
      </c>
      <c r="C33">
        <v>1.1592574918415549E+18</v>
      </c>
      <c r="D33" s="1">
        <f t="shared" si="0"/>
        <v>458.15888917019277</v>
      </c>
      <c r="E33" s="1">
        <v>3145887164240444</v>
      </c>
      <c r="F33" s="1">
        <f t="shared" si="1"/>
        <v>1.2276378007248496</v>
      </c>
      <c r="G33" s="1">
        <f t="shared" si="2"/>
        <v>459.3865269709176</v>
      </c>
      <c r="H33" s="1">
        <v>4.5302442590162598E+17</v>
      </c>
      <c r="I33" s="1">
        <f t="shared" si="3"/>
        <v>174.52950317033748</v>
      </c>
      <c r="J33">
        <v>1.9963213821921078E+17</v>
      </c>
      <c r="K33">
        <v>121.5</v>
      </c>
      <c r="L33">
        <v>1.9963213821921078E+17</v>
      </c>
      <c r="M33">
        <v>123</v>
      </c>
      <c r="N33" s="2">
        <f t="shared" si="4"/>
        <v>500.9245487254579</v>
      </c>
      <c r="O33" s="10">
        <v>51</v>
      </c>
      <c r="P33" s="8">
        <v>78</v>
      </c>
      <c r="Q33" s="8">
        <f>2.094*10^(17)</f>
        <v>2.094E+17</v>
      </c>
      <c r="R33" s="19">
        <v>51</v>
      </c>
      <c r="S33">
        <v>78</v>
      </c>
      <c r="T33">
        <f>2.094*10^(17)</f>
        <v>2.094E+17</v>
      </c>
      <c r="U33" s="10">
        <v>51</v>
      </c>
      <c r="V33" s="8">
        <v>78</v>
      </c>
      <c r="W33" s="8">
        <f>2.094*10^(17)</f>
        <v>2.094E+17</v>
      </c>
      <c r="X33" s="19">
        <v>51</v>
      </c>
      <c r="Y33" s="21">
        <v>78</v>
      </c>
      <c r="Z33" s="6">
        <f>2.094*10^(17)</f>
        <v>2.094E+17</v>
      </c>
    </row>
    <row r="34" spans="1:26" x14ac:dyDescent="0.2">
      <c r="A34" t="s">
        <v>5</v>
      </c>
      <c r="B34">
        <v>700</v>
      </c>
      <c r="C34">
        <v>1.3524670738151473E+18</v>
      </c>
      <c r="D34" s="1">
        <f t="shared" ref="D34:D65" si="5">C34/(6.022*10^(23))*238*10^6</f>
        <v>534.5187040318915</v>
      </c>
      <c r="E34" s="1">
        <v>3670201691613851</v>
      </c>
      <c r="F34" s="1">
        <f t="shared" ref="F34:F65" si="6">E34/(6.022*10^(23))*235*10^6</f>
        <v>1.4322441008456577</v>
      </c>
      <c r="G34" s="1">
        <f t="shared" ref="G34:G65" si="7">D34+F34</f>
        <v>535.95094813273715</v>
      </c>
      <c r="H34" s="1">
        <v>5.2852849688522957E+17</v>
      </c>
      <c r="I34" s="1">
        <f t="shared" ref="I34:I65" si="8">H34/(6.022*10^(23))*232*10^6</f>
        <v>203.61775369872677</v>
      </c>
      <c r="J34">
        <v>2.3290416125574576E+17</v>
      </c>
      <c r="K34">
        <v>121.6</v>
      </c>
      <c r="L34">
        <v>2.3290416125574576E+17</v>
      </c>
      <c r="M34">
        <v>123.2</v>
      </c>
      <c r="N34" s="2">
        <f t="shared" ref="N34:N65" si="9">G34+0.238*I34</f>
        <v>584.41197351303413</v>
      </c>
      <c r="O34" s="10">
        <v>52</v>
      </c>
      <c r="P34" s="8">
        <v>81</v>
      </c>
      <c r="Q34" s="8">
        <f>2.443*10^(17)</f>
        <v>2.443E+17</v>
      </c>
      <c r="R34" s="19">
        <v>52</v>
      </c>
      <c r="S34">
        <v>81</v>
      </c>
      <c r="T34">
        <f>2.443*10^(17)</f>
        <v>2.443E+17</v>
      </c>
      <c r="U34" s="10">
        <v>52</v>
      </c>
      <c r="V34" s="8">
        <v>81</v>
      </c>
      <c r="W34" s="8">
        <f>2.443*10^(17)</f>
        <v>2.443E+17</v>
      </c>
      <c r="X34" s="19">
        <v>52</v>
      </c>
      <c r="Y34" s="21">
        <v>81</v>
      </c>
      <c r="Z34" s="6">
        <f>2.443*10^(17)</f>
        <v>2.443E+17</v>
      </c>
    </row>
    <row r="35" spans="1:26" x14ac:dyDescent="0.2">
      <c r="A35" t="s">
        <v>5</v>
      </c>
      <c r="B35">
        <v>800</v>
      </c>
      <c r="C35">
        <v>1.5456766557887396E+18</v>
      </c>
      <c r="D35" s="1">
        <f t="shared" si="5"/>
        <v>610.87851889359024</v>
      </c>
      <c r="E35" s="1">
        <v>4194516218987258</v>
      </c>
      <c r="F35" s="1">
        <f t="shared" si="6"/>
        <v>1.6368504009664659</v>
      </c>
      <c r="G35" s="1">
        <f t="shared" si="7"/>
        <v>612.51536929455665</v>
      </c>
      <c r="H35" s="1">
        <v>6.040325678688343E+17</v>
      </c>
      <c r="I35" s="1">
        <f t="shared" si="8"/>
        <v>232.70600422711652</v>
      </c>
      <c r="J35">
        <v>2.6617618429228134E+17</v>
      </c>
      <c r="K35">
        <v>121.7</v>
      </c>
      <c r="L35">
        <v>2.6617618429228134E+17</v>
      </c>
      <c r="M35">
        <v>123.3</v>
      </c>
      <c r="N35" s="2">
        <f t="shared" si="9"/>
        <v>667.89939830061041</v>
      </c>
      <c r="O35" s="10">
        <v>52.8</v>
      </c>
      <c r="P35" s="8">
        <v>83.3</v>
      </c>
      <c r="Q35" s="8">
        <f>2.792*10^(17)</f>
        <v>2.7919999999999997E+17</v>
      </c>
      <c r="R35" s="19">
        <v>52.8</v>
      </c>
      <c r="S35">
        <v>83.3</v>
      </c>
      <c r="T35">
        <f>2.792*10^(17)</f>
        <v>2.7919999999999997E+17</v>
      </c>
      <c r="U35" s="10">
        <v>52.8</v>
      </c>
      <c r="V35" s="8">
        <v>83.3</v>
      </c>
      <c r="W35" s="8">
        <f>2.792*10^(17)</f>
        <v>2.7919999999999997E+17</v>
      </c>
      <c r="X35" s="19">
        <v>52.8</v>
      </c>
      <c r="Y35" s="21">
        <v>83.3</v>
      </c>
      <c r="Z35" s="6">
        <f>2.792*10^(17)</f>
        <v>2.7919999999999997E+17</v>
      </c>
    </row>
    <row r="36" spans="1:26" x14ac:dyDescent="0.2">
      <c r="A36" t="s">
        <v>5</v>
      </c>
      <c r="B36">
        <v>900</v>
      </c>
      <c r="C36">
        <v>1.7388862377623322E+18</v>
      </c>
      <c r="D36" s="1">
        <f t="shared" si="5"/>
        <v>687.23833375528909</v>
      </c>
      <c r="E36" s="1">
        <v>4718830746360665</v>
      </c>
      <c r="F36" s="1">
        <f t="shared" si="6"/>
        <v>1.8414567010872738</v>
      </c>
      <c r="G36" s="1">
        <f t="shared" si="7"/>
        <v>689.07979045637637</v>
      </c>
      <c r="H36" s="1">
        <v>6.7953663885243789E+17</v>
      </c>
      <c r="I36" s="1">
        <f t="shared" si="8"/>
        <v>261.79425475550585</v>
      </c>
      <c r="J36">
        <v>2.9944820732881638E+17</v>
      </c>
      <c r="K36">
        <v>121.9</v>
      </c>
      <c r="L36">
        <v>2.9944820732881638E+17</v>
      </c>
      <c r="M36">
        <v>123.5</v>
      </c>
      <c r="N36" s="2">
        <f t="shared" si="9"/>
        <v>751.3868230881867</v>
      </c>
      <c r="O36" s="10">
        <v>53.6</v>
      </c>
      <c r="P36" s="8">
        <v>85.2</v>
      </c>
      <c r="Q36" s="8">
        <f>3.142*10^(17)</f>
        <v>3.142E+17</v>
      </c>
      <c r="R36" s="19">
        <v>53.6</v>
      </c>
      <c r="S36">
        <v>85.2</v>
      </c>
      <c r="T36">
        <f>3.142*10^(17)</f>
        <v>3.142E+17</v>
      </c>
      <c r="U36" s="10">
        <v>53.6</v>
      </c>
      <c r="V36" s="8">
        <v>85.2</v>
      </c>
      <c r="W36" s="8">
        <f>3.142*10^(17)</f>
        <v>3.142E+17</v>
      </c>
      <c r="X36" s="19">
        <v>53.6</v>
      </c>
      <c r="Y36" s="21">
        <v>85.2</v>
      </c>
      <c r="Z36" s="6">
        <f>3.142*10^(17)</f>
        <v>3.142E+17</v>
      </c>
    </row>
    <row r="37" spans="1:26" s="3" customFormat="1" x14ac:dyDescent="0.2">
      <c r="A37" s="3" t="s">
        <v>5</v>
      </c>
      <c r="B37" s="3">
        <v>1000</v>
      </c>
      <c r="C37" s="3">
        <v>1.9320958197359247E+18</v>
      </c>
      <c r="D37" s="4">
        <f t="shared" si="5"/>
        <v>763.59814861698794</v>
      </c>
      <c r="E37" s="4">
        <v>5243145273734073</v>
      </c>
      <c r="F37" s="4">
        <f t="shared" si="6"/>
        <v>2.0460630012080827</v>
      </c>
      <c r="G37" s="4">
        <f t="shared" si="7"/>
        <v>765.64421161819598</v>
      </c>
      <c r="H37" s="4">
        <v>7.550407098360425E+17</v>
      </c>
      <c r="I37" s="4">
        <f t="shared" si="8"/>
        <v>290.88250528389551</v>
      </c>
      <c r="J37" s="3">
        <v>3.3272023036535104E+17</v>
      </c>
      <c r="K37" s="3">
        <v>122</v>
      </c>
      <c r="L37" s="3">
        <v>3.3272023036535104E+17</v>
      </c>
      <c r="M37" s="3">
        <v>123.6</v>
      </c>
      <c r="N37" s="5">
        <f t="shared" si="9"/>
        <v>834.8742478757631</v>
      </c>
      <c r="O37" s="11">
        <v>54.2</v>
      </c>
      <c r="P37" s="9">
        <v>86.7</v>
      </c>
      <c r="Q37" s="9">
        <f>3.491*10^(17)</f>
        <v>3.491E+17</v>
      </c>
      <c r="R37" s="20">
        <v>54.2</v>
      </c>
      <c r="S37" s="3">
        <v>86.7</v>
      </c>
      <c r="T37" s="3">
        <f>3.491*10^(17)</f>
        <v>3.491E+17</v>
      </c>
      <c r="U37" s="11">
        <v>54.2</v>
      </c>
      <c r="V37" s="9">
        <v>86.7</v>
      </c>
      <c r="W37" s="9">
        <f>3.491*10^(17)</f>
        <v>3.491E+17</v>
      </c>
      <c r="X37" s="20">
        <v>54.2</v>
      </c>
      <c r="Y37" s="3">
        <v>86.7</v>
      </c>
      <c r="Z37" s="7">
        <f>3.491*10^(17)</f>
        <v>3.491E+17</v>
      </c>
    </row>
    <row r="38" spans="1:26" x14ac:dyDescent="0.2">
      <c r="A38" t="s">
        <v>4</v>
      </c>
      <c r="B38">
        <v>10</v>
      </c>
      <c r="C38">
        <v>1.9320958197359248E+16</v>
      </c>
      <c r="D38" s="1">
        <f t="shared" si="5"/>
        <v>7.6359814861698787</v>
      </c>
      <c r="E38" s="1">
        <v>52431452737340.703</v>
      </c>
      <c r="F38" s="1">
        <f t="shared" si="6"/>
        <v>2.0460630012080813E-2</v>
      </c>
      <c r="G38" s="1">
        <f t="shared" si="7"/>
        <v>7.6564421161819594</v>
      </c>
      <c r="H38" s="1">
        <v>7550407098360421</v>
      </c>
      <c r="I38" s="1">
        <f t="shared" si="8"/>
        <v>2.9088250528389534</v>
      </c>
      <c r="J38">
        <v>3717352178832177</v>
      </c>
      <c r="K38">
        <v>130.80000000000001</v>
      </c>
      <c r="L38">
        <v>3717352178832177</v>
      </c>
      <c r="M38">
        <v>132.80000000000001</v>
      </c>
      <c r="N38" s="2">
        <f t="shared" si="9"/>
        <v>8.3487424787576305</v>
      </c>
      <c r="O38" s="10">
        <v>21.9</v>
      </c>
      <c r="P38" s="8">
        <v>32.700000000000003</v>
      </c>
      <c r="Q38" s="8">
        <f>3.826*10^(15)</f>
        <v>3826000000000000</v>
      </c>
      <c r="R38" s="19">
        <v>21.9</v>
      </c>
      <c r="S38">
        <v>32.700000000000003</v>
      </c>
      <c r="T38">
        <f>3.826*10^(15)</f>
        <v>3826000000000000</v>
      </c>
      <c r="U38" s="10">
        <v>21.9</v>
      </c>
      <c r="V38" s="8">
        <v>32.700000000000003</v>
      </c>
      <c r="W38" s="8">
        <f>3.826*10^(15)</f>
        <v>3826000000000000</v>
      </c>
      <c r="X38" s="19">
        <v>21.9</v>
      </c>
      <c r="Y38" s="21">
        <v>32.700000000000003</v>
      </c>
      <c r="Z38" s="6">
        <f>3.826*10^(15)</f>
        <v>3826000000000000</v>
      </c>
    </row>
    <row r="39" spans="1:26" x14ac:dyDescent="0.2">
      <c r="A39" t="s">
        <v>4</v>
      </c>
      <c r="B39">
        <v>50</v>
      </c>
      <c r="C39">
        <v>9.6604790986796224E+16</v>
      </c>
      <c r="D39" s="1">
        <f t="shared" si="5"/>
        <v>38.17990743084939</v>
      </c>
      <c r="E39" s="1">
        <v>262157263686704</v>
      </c>
      <c r="F39" s="1">
        <f t="shared" si="6"/>
        <v>0.10230315006040426</v>
      </c>
      <c r="G39" s="1">
        <f t="shared" si="7"/>
        <v>38.282210580909798</v>
      </c>
      <c r="H39" s="1">
        <v>3.7752035491802144E+16</v>
      </c>
      <c r="I39" s="1">
        <f t="shared" si="8"/>
        <v>14.544125264194783</v>
      </c>
      <c r="J39">
        <v>1.8586760894160932E+16</v>
      </c>
      <c r="K39">
        <v>133</v>
      </c>
      <c r="L39">
        <v>1.8586760894160932E+16</v>
      </c>
      <c r="M39">
        <v>135.1</v>
      </c>
      <c r="N39" s="2">
        <f t="shared" si="9"/>
        <v>41.743712393788158</v>
      </c>
      <c r="O39" s="10">
        <v>33.6</v>
      </c>
      <c r="P39" s="8">
        <v>45.7</v>
      </c>
      <c r="Q39" s="8">
        <f>1.914*10^(16)</f>
        <v>1.914E+16</v>
      </c>
      <c r="R39" s="19">
        <v>33.6</v>
      </c>
      <c r="S39">
        <v>45.7</v>
      </c>
      <c r="T39">
        <f>1.914*10^(16)</f>
        <v>1.914E+16</v>
      </c>
      <c r="U39" s="10">
        <v>33.6</v>
      </c>
      <c r="V39" s="8">
        <v>45.7</v>
      </c>
      <c r="W39" s="8">
        <f>1.914*10^(16)</f>
        <v>1.914E+16</v>
      </c>
      <c r="X39" s="19">
        <v>33.6</v>
      </c>
      <c r="Y39" s="21">
        <v>45.7</v>
      </c>
      <c r="Z39" s="6">
        <f>1.914*10^(16)</f>
        <v>1.914E+16</v>
      </c>
    </row>
    <row r="40" spans="1:26" x14ac:dyDescent="0.2">
      <c r="A40" t="s">
        <v>4</v>
      </c>
      <c r="B40">
        <v>100</v>
      </c>
      <c r="C40">
        <v>1.9320958197359245E+17</v>
      </c>
      <c r="D40" s="1">
        <f t="shared" si="5"/>
        <v>76.35981486169878</v>
      </c>
      <c r="E40" s="1">
        <v>524314527373407</v>
      </c>
      <c r="F40" s="1">
        <f t="shared" si="6"/>
        <v>0.20460630012080813</v>
      </c>
      <c r="G40" s="1">
        <f t="shared" si="7"/>
        <v>76.564421161819581</v>
      </c>
      <c r="H40" s="1">
        <v>7.5504070983604288E+16</v>
      </c>
      <c r="I40" s="1">
        <f t="shared" si="8"/>
        <v>29.088250528389565</v>
      </c>
      <c r="J40">
        <v>3.7173521788321864E+16</v>
      </c>
      <c r="K40">
        <v>133.9</v>
      </c>
      <c r="L40">
        <v>3.7173521788321864E+16</v>
      </c>
      <c r="M40">
        <v>136.19999999999999</v>
      </c>
      <c r="N40" s="2">
        <f t="shared" si="9"/>
        <v>83.487424787576302</v>
      </c>
      <c r="O40" s="10">
        <v>38.9</v>
      </c>
      <c r="P40" s="8">
        <v>51.5</v>
      </c>
      <c r="Q40" s="8">
        <f>3.827*10^(16)</f>
        <v>3.827E+16</v>
      </c>
      <c r="R40" s="19">
        <v>38.9</v>
      </c>
      <c r="S40">
        <v>51.5</v>
      </c>
      <c r="T40">
        <f>3.827*10^(16)</f>
        <v>3.827E+16</v>
      </c>
      <c r="U40" s="10">
        <v>38.9</v>
      </c>
      <c r="V40" s="8">
        <v>51.5</v>
      </c>
      <c r="W40" s="8">
        <f>3.827*10^(16)</f>
        <v>3.827E+16</v>
      </c>
      <c r="X40" s="19">
        <v>38.9</v>
      </c>
      <c r="Y40" s="21">
        <v>51.5</v>
      </c>
      <c r="Z40" s="6">
        <f>3.827*10^(16)</f>
        <v>3.827E+16</v>
      </c>
    </row>
    <row r="41" spans="1:26" x14ac:dyDescent="0.2">
      <c r="A41" t="s">
        <v>4</v>
      </c>
      <c r="B41">
        <v>200</v>
      </c>
      <c r="C41">
        <v>3.864191639471849E+17</v>
      </c>
      <c r="D41" s="1">
        <f t="shared" si="5"/>
        <v>152.71962972339756</v>
      </c>
      <c r="E41" s="1">
        <v>1048629054746814</v>
      </c>
      <c r="F41" s="1">
        <f t="shared" si="6"/>
        <v>0.40921260024161626</v>
      </c>
      <c r="G41" s="1">
        <f t="shared" si="7"/>
        <v>153.12884232363916</v>
      </c>
      <c r="H41" s="1">
        <v>1.5100814196720858E+17</v>
      </c>
      <c r="I41" s="1">
        <f t="shared" si="8"/>
        <v>58.176501056779131</v>
      </c>
      <c r="J41">
        <v>7.4347043576643728E+16</v>
      </c>
      <c r="K41">
        <v>134.9</v>
      </c>
      <c r="L41">
        <v>7.4347043576643728E+16</v>
      </c>
      <c r="M41">
        <v>137.30000000000001</v>
      </c>
      <c r="N41" s="2">
        <f t="shared" si="9"/>
        <v>166.9748495751526</v>
      </c>
      <c r="O41" s="10">
        <v>44.2</v>
      </c>
      <c r="P41" s="8">
        <v>59.1</v>
      </c>
      <c r="Q41" s="8">
        <f>7.655*10^(16)</f>
        <v>7.655E+16</v>
      </c>
      <c r="R41" s="19">
        <v>44.2</v>
      </c>
      <c r="S41">
        <v>59.1</v>
      </c>
      <c r="T41">
        <f>7.655*10^(16)</f>
        <v>7.655E+16</v>
      </c>
      <c r="U41" s="10">
        <v>44.2</v>
      </c>
      <c r="V41" s="8">
        <v>59.1</v>
      </c>
      <c r="W41" s="8">
        <f>7.655*10^(16)</f>
        <v>7.655E+16</v>
      </c>
      <c r="X41" s="19">
        <v>44.2</v>
      </c>
      <c r="Y41" s="21">
        <v>59.1</v>
      </c>
      <c r="Z41" s="6">
        <f>7.655*10^(16)</f>
        <v>7.655E+16</v>
      </c>
    </row>
    <row r="42" spans="1:26" x14ac:dyDescent="0.2">
      <c r="A42" t="s">
        <v>4</v>
      </c>
      <c r="B42">
        <v>300</v>
      </c>
      <c r="C42">
        <v>5.7962874592077747E+17</v>
      </c>
      <c r="D42" s="1">
        <f t="shared" si="5"/>
        <v>229.07944458509638</v>
      </c>
      <c r="E42" s="1">
        <v>1572943582120222</v>
      </c>
      <c r="F42" s="1">
        <f t="shared" si="6"/>
        <v>0.61381890036242481</v>
      </c>
      <c r="G42" s="1">
        <f t="shared" si="7"/>
        <v>229.6932634854588</v>
      </c>
      <c r="H42" s="1">
        <v>2.2651221295081299E+17</v>
      </c>
      <c r="I42" s="1">
        <f t="shared" si="8"/>
        <v>87.264751585168739</v>
      </c>
      <c r="J42">
        <v>1.1152056536496547E+17</v>
      </c>
      <c r="K42">
        <v>135.6</v>
      </c>
      <c r="L42">
        <v>1.1152056536496547E+17</v>
      </c>
      <c r="M42">
        <v>138</v>
      </c>
      <c r="N42" s="2">
        <f t="shared" si="9"/>
        <v>250.46227436272895</v>
      </c>
      <c r="O42" s="10">
        <v>47.2</v>
      </c>
      <c r="P42" s="8">
        <v>68.099999999999994</v>
      </c>
      <c r="Q42" s="8">
        <f>1.148*10^(17)</f>
        <v>1.1479999999999998E+17</v>
      </c>
      <c r="R42" s="19">
        <v>47.2</v>
      </c>
      <c r="S42">
        <v>68.099999999999994</v>
      </c>
      <c r="T42">
        <f>1.148*10^(17)</f>
        <v>1.1479999999999998E+17</v>
      </c>
      <c r="U42" s="10">
        <v>47.2</v>
      </c>
      <c r="V42" s="8">
        <v>68.099999999999994</v>
      </c>
      <c r="W42" s="8">
        <f>1.148*10^(17)</f>
        <v>1.1479999999999998E+17</v>
      </c>
      <c r="X42" s="19">
        <v>47.2</v>
      </c>
      <c r="Y42" s="21">
        <v>68.099999999999994</v>
      </c>
      <c r="Z42" s="6">
        <f>1.148*10^(17)</f>
        <v>1.1479999999999998E+17</v>
      </c>
    </row>
    <row r="43" spans="1:26" x14ac:dyDescent="0.2">
      <c r="A43" t="s">
        <v>4</v>
      </c>
      <c r="B43">
        <v>400</v>
      </c>
      <c r="C43">
        <v>7.7283832789436979E+17</v>
      </c>
      <c r="D43" s="1">
        <f t="shared" si="5"/>
        <v>305.43925944679512</v>
      </c>
      <c r="E43" s="1">
        <v>2097258109493629</v>
      </c>
      <c r="F43" s="1">
        <f t="shared" si="6"/>
        <v>0.81842520048323297</v>
      </c>
      <c r="G43" s="1">
        <f t="shared" si="7"/>
        <v>306.25768464727832</v>
      </c>
      <c r="H43" s="1">
        <v>3.0201628393441715E+17</v>
      </c>
      <c r="I43" s="1">
        <f t="shared" si="8"/>
        <v>116.35300211355826</v>
      </c>
      <c r="J43">
        <v>1.4869408715328746E+17</v>
      </c>
      <c r="K43">
        <v>136</v>
      </c>
      <c r="L43">
        <v>1.4869408715328746E+17</v>
      </c>
      <c r="M43">
        <v>138.4</v>
      </c>
      <c r="N43" s="2">
        <f t="shared" si="9"/>
        <v>333.94969915030521</v>
      </c>
      <c r="O43" s="10">
        <v>49.3</v>
      </c>
      <c r="P43" s="8">
        <v>75.5</v>
      </c>
      <c r="Q43" s="8">
        <f>1.531*10^(17)</f>
        <v>1.531E+17</v>
      </c>
      <c r="R43" s="19">
        <v>49.3</v>
      </c>
      <c r="S43">
        <v>75.5</v>
      </c>
      <c r="T43">
        <f>1.531*10^(17)</f>
        <v>1.531E+17</v>
      </c>
      <c r="U43" s="10">
        <v>49.3</v>
      </c>
      <c r="V43" s="8">
        <v>75.5</v>
      </c>
      <c r="W43" s="8">
        <f>1.531*10^(17)</f>
        <v>1.531E+17</v>
      </c>
      <c r="X43" s="19">
        <v>49.3</v>
      </c>
      <c r="Y43" s="21">
        <v>75.5</v>
      </c>
      <c r="Z43" s="6">
        <f>1.531*10^(17)</f>
        <v>1.531E+17</v>
      </c>
    </row>
    <row r="44" spans="1:26" x14ac:dyDescent="0.2">
      <c r="A44" t="s">
        <v>4</v>
      </c>
      <c r="B44">
        <v>500</v>
      </c>
      <c r="C44">
        <v>9.6604790986796237E+17</v>
      </c>
      <c r="D44" s="1">
        <f t="shared" si="5"/>
        <v>381.79907430849397</v>
      </c>
      <c r="E44" s="1">
        <v>2621572636867036</v>
      </c>
      <c r="F44" s="1">
        <f t="shared" si="6"/>
        <v>1.0230315006040411</v>
      </c>
      <c r="G44" s="1">
        <f t="shared" si="7"/>
        <v>382.82210580909799</v>
      </c>
      <c r="H44" s="1">
        <v>3.7752035491802125E+17</v>
      </c>
      <c r="I44" s="1">
        <f t="shared" si="8"/>
        <v>145.44125264194776</v>
      </c>
      <c r="J44">
        <v>1.8586760894160925E+17</v>
      </c>
      <c r="K44">
        <v>136.30000000000001</v>
      </c>
      <c r="L44">
        <v>1.8586760894160925E+17</v>
      </c>
      <c r="M44">
        <v>138.80000000000001</v>
      </c>
      <c r="N44" s="2">
        <f t="shared" si="9"/>
        <v>417.43712393788155</v>
      </c>
      <c r="O44" s="10">
        <v>50.9</v>
      </c>
      <c r="P44" s="8">
        <v>80.900000000000006</v>
      </c>
      <c r="Q44" s="8">
        <f>1.914*10^(17)</f>
        <v>1.914E+17</v>
      </c>
      <c r="R44" s="19">
        <v>50.9</v>
      </c>
      <c r="S44">
        <v>80.900000000000006</v>
      </c>
      <c r="T44">
        <f>1.914*10^(17)</f>
        <v>1.914E+17</v>
      </c>
      <c r="U44" s="10">
        <v>50.9</v>
      </c>
      <c r="V44" s="8">
        <v>80.900000000000006</v>
      </c>
      <c r="W44" s="8">
        <f>1.914*10^(17)</f>
        <v>1.914E+17</v>
      </c>
      <c r="X44" s="19">
        <v>50.9</v>
      </c>
      <c r="Y44" s="21">
        <v>80.900000000000006</v>
      </c>
      <c r="Z44" s="6">
        <f>1.914*10^(17)</f>
        <v>1.914E+17</v>
      </c>
    </row>
    <row r="45" spans="1:26" x14ac:dyDescent="0.2">
      <c r="A45" t="s">
        <v>4</v>
      </c>
      <c r="B45">
        <v>600</v>
      </c>
      <c r="C45">
        <v>1.1592574918415549E+18</v>
      </c>
      <c r="D45" s="1">
        <f t="shared" si="5"/>
        <v>458.15888917019277</v>
      </c>
      <c r="E45" s="1">
        <v>3145887164240444</v>
      </c>
      <c r="F45" s="1">
        <f t="shared" si="6"/>
        <v>1.2276378007248496</v>
      </c>
      <c r="G45" s="1">
        <f t="shared" si="7"/>
        <v>459.3865269709176</v>
      </c>
      <c r="H45" s="1">
        <v>4.5302442590162598E+17</v>
      </c>
      <c r="I45" s="1">
        <f t="shared" si="8"/>
        <v>174.52950317033748</v>
      </c>
      <c r="J45">
        <v>2.2304113072993094E+17</v>
      </c>
      <c r="K45">
        <v>136.6</v>
      </c>
      <c r="L45">
        <v>2.2304113072993094E+17</v>
      </c>
      <c r="M45">
        <v>139.1</v>
      </c>
      <c r="N45" s="2">
        <f t="shared" si="9"/>
        <v>500.9245487254579</v>
      </c>
      <c r="O45" s="10">
        <v>52.1</v>
      </c>
      <c r="P45" s="8">
        <v>84.4</v>
      </c>
      <c r="Q45" s="8">
        <f>2.296*10^(17)</f>
        <v>2.2959999999999997E+17</v>
      </c>
      <c r="R45" s="19">
        <v>52.1</v>
      </c>
      <c r="S45">
        <v>84.4</v>
      </c>
      <c r="T45">
        <f>2.296*10^(17)</f>
        <v>2.2959999999999997E+17</v>
      </c>
      <c r="U45" s="10">
        <v>52.1</v>
      </c>
      <c r="V45" s="8">
        <v>84.8</v>
      </c>
      <c r="W45" s="8">
        <f>2.296*10^(17)</f>
        <v>2.2959999999999997E+17</v>
      </c>
      <c r="X45" s="19">
        <v>52.1</v>
      </c>
      <c r="Y45" s="21">
        <v>84.8</v>
      </c>
      <c r="Z45" s="6">
        <f>2.296*10^(17)</f>
        <v>2.2959999999999997E+17</v>
      </c>
    </row>
    <row r="46" spans="1:26" x14ac:dyDescent="0.2">
      <c r="A46" t="s">
        <v>4</v>
      </c>
      <c r="B46">
        <v>700</v>
      </c>
      <c r="C46">
        <v>1.3524670738151473E+18</v>
      </c>
      <c r="D46" s="1">
        <f t="shared" si="5"/>
        <v>534.5187040318915</v>
      </c>
      <c r="E46" s="1">
        <v>3670201691613851</v>
      </c>
      <c r="F46" s="1">
        <f t="shared" si="6"/>
        <v>1.4322441008456577</v>
      </c>
      <c r="G46" s="1">
        <f t="shared" si="7"/>
        <v>535.95094813273715</v>
      </c>
      <c r="H46" s="1">
        <v>5.2852849688522957E+17</v>
      </c>
      <c r="I46" s="1">
        <f t="shared" si="8"/>
        <v>203.61775369872677</v>
      </c>
      <c r="J46">
        <v>2.6021465251825261E+17</v>
      </c>
      <c r="K46">
        <v>136.9</v>
      </c>
      <c r="L46">
        <v>2.6021465251825261E+17</v>
      </c>
      <c r="M46">
        <v>139.4</v>
      </c>
      <c r="N46" s="2">
        <f t="shared" si="9"/>
        <v>584.41197351303413</v>
      </c>
      <c r="O46" s="10">
        <v>53</v>
      </c>
      <c r="P46" s="8">
        <v>87.8</v>
      </c>
      <c r="Q46" s="8">
        <f>2.679*10^(17)</f>
        <v>2.6789999999999997E+17</v>
      </c>
      <c r="R46" s="19">
        <v>53</v>
      </c>
      <c r="S46">
        <v>87.7</v>
      </c>
      <c r="T46">
        <f>2.679*10^(17)</f>
        <v>2.6789999999999997E+17</v>
      </c>
      <c r="U46" s="10">
        <v>53</v>
      </c>
      <c r="V46" s="8">
        <v>87.8</v>
      </c>
      <c r="W46" s="8">
        <f>2.679*10^(17)</f>
        <v>2.6789999999999997E+17</v>
      </c>
      <c r="X46" s="19">
        <v>53</v>
      </c>
      <c r="Y46" s="21">
        <v>87.8</v>
      </c>
      <c r="Z46" s="6">
        <f>2.679*10^(17)</f>
        <v>2.6789999999999997E+17</v>
      </c>
    </row>
    <row r="47" spans="1:26" x14ac:dyDescent="0.2">
      <c r="A47" t="s">
        <v>4</v>
      </c>
      <c r="B47">
        <v>800</v>
      </c>
      <c r="C47">
        <v>1.5456766557887396E+18</v>
      </c>
      <c r="D47" s="1">
        <f t="shared" si="5"/>
        <v>610.87851889359024</v>
      </c>
      <c r="E47" s="1">
        <v>4194516218987258</v>
      </c>
      <c r="F47" s="1">
        <f t="shared" si="6"/>
        <v>1.6368504009664659</v>
      </c>
      <c r="G47" s="1">
        <f t="shared" si="7"/>
        <v>612.51536929455665</v>
      </c>
      <c r="H47" s="1">
        <v>6.040325678688343E+17</v>
      </c>
      <c r="I47" s="1">
        <f t="shared" si="8"/>
        <v>232.70600422711652</v>
      </c>
      <c r="J47">
        <v>2.9738817430657491E+17</v>
      </c>
      <c r="K47">
        <v>137.1</v>
      </c>
      <c r="L47">
        <v>2.9738817430657491E+17</v>
      </c>
      <c r="M47">
        <v>139.6</v>
      </c>
      <c r="N47" s="2">
        <f t="shared" si="9"/>
        <v>667.89939830061041</v>
      </c>
      <c r="O47" s="10">
        <v>53.9</v>
      </c>
      <c r="P47" s="8">
        <v>90.2</v>
      </c>
      <c r="Q47" s="8">
        <f>3.062*10^(17)</f>
        <v>3.062E+17</v>
      </c>
      <c r="R47" s="19">
        <v>53.9</v>
      </c>
      <c r="S47">
        <v>90.2</v>
      </c>
      <c r="T47">
        <f>3.062*10^(17)</f>
        <v>3.062E+17</v>
      </c>
      <c r="U47" s="10">
        <v>53.9</v>
      </c>
      <c r="V47" s="8">
        <v>90.2</v>
      </c>
      <c r="W47" s="8">
        <f>3.062*10^(17)</f>
        <v>3.062E+17</v>
      </c>
      <c r="X47" s="19">
        <v>53.9</v>
      </c>
      <c r="Y47" s="21">
        <v>90.2</v>
      </c>
      <c r="Z47" s="6">
        <f>3.062*10^(17)</f>
        <v>3.062E+17</v>
      </c>
    </row>
    <row r="48" spans="1:26" x14ac:dyDescent="0.2">
      <c r="A48" t="s">
        <v>4</v>
      </c>
      <c r="B48">
        <v>900</v>
      </c>
      <c r="C48">
        <v>1.7388862377623322E+18</v>
      </c>
      <c r="D48" s="1">
        <f t="shared" si="5"/>
        <v>687.23833375528909</v>
      </c>
      <c r="E48" s="1">
        <v>4718830746360665</v>
      </c>
      <c r="F48" s="1">
        <f t="shared" si="6"/>
        <v>1.8414567010872738</v>
      </c>
      <c r="G48" s="1">
        <f t="shared" si="7"/>
        <v>689.07979045637637</v>
      </c>
      <c r="H48" s="1">
        <v>6.7953663885243789E+17</v>
      </c>
      <c r="I48" s="1">
        <f t="shared" si="8"/>
        <v>261.79425475550585</v>
      </c>
      <c r="J48">
        <v>3.3456169609489626E+17</v>
      </c>
      <c r="K48">
        <v>137.30000000000001</v>
      </c>
      <c r="L48">
        <v>3.3456169609489626E+17</v>
      </c>
      <c r="M48">
        <v>139.80000000000001</v>
      </c>
      <c r="N48" s="2">
        <f t="shared" si="9"/>
        <v>751.3868230881867</v>
      </c>
      <c r="O48" s="10">
        <v>54.6</v>
      </c>
      <c r="P48" s="8">
        <v>92</v>
      </c>
      <c r="Q48" s="8">
        <f>3.445*10^(17)</f>
        <v>3.445E+17</v>
      </c>
      <c r="R48" s="19">
        <v>54.6</v>
      </c>
      <c r="S48">
        <v>92</v>
      </c>
      <c r="T48">
        <f>3.445*10^(17)</f>
        <v>3.445E+17</v>
      </c>
      <c r="U48" s="10">
        <v>54.6</v>
      </c>
      <c r="V48" s="8">
        <v>92</v>
      </c>
      <c r="W48" s="8">
        <f>3.445*10^(17)</f>
        <v>3.445E+17</v>
      </c>
      <c r="X48" s="19">
        <v>54.6</v>
      </c>
      <c r="Y48" s="21">
        <v>92</v>
      </c>
      <c r="Z48" s="6">
        <f>3.445*10^(17)</f>
        <v>3.445E+17</v>
      </c>
    </row>
    <row r="49" spans="1:26" s="3" customFormat="1" x14ac:dyDescent="0.2">
      <c r="A49" s="3" t="s">
        <v>4</v>
      </c>
      <c r="B49" s="3">
        <v>1000</v>
      </c>
      <c r="C49" s="3">
        <v>1.9320958197359247E+18</v>
      </c>
      <c r="D49" s="4">
        <f t="shared" si="5"/>
        <v>763.59814861698794</v>
      </c>
      <c r="E49" s="4">
        <v>5243145273734073</v>
      </c>
      <c r="F49" s="4">
        <f t="shared" si="6"/>
        <v>2.0460630012080827</v>
      </c>
      <c r="G49" s="4">
        <f t="shared" si="7"/>
        <v>765.64421161819598</v>
      </c>
      <c r="H49" s="4">
        <v>7.550407098360425E+17</v>
      </c>
      <c r="I49" s="4">
        <f t="shared" si="8"/>
        <v>290.88250528389551</v>
      </c>
      <c r="J49" s="3">
        <v>3.717352178832185E+17</v>
      </c>
      <c r="K49" s="3">
        <v>137.4</v>
      </c>
      <c r="L49" s="3">
        <v>3.717352178832185E+17</v>
      </c>
      <c r="M49" s="3">
        <v>140</v>
      </c>
      <c r="N49" s="5">
        <f t="shared" si="9"/>
        <v>834.8742478757631</v>
      </c>
      <c r="O49" s="11">
        <v>55.4</v>
      </c>
      <c r="P49" s="9">
        <v>93.5</v>
      </c>
      <c r="Q49" s="9">
        <f>3.827*10^(17)</f>
        <v>3.827E+17</v>
      </c>
      <c r="R49" s="20">
        <v>55.4</v>
      </c>
      <c r="S49" s="3">
        <v>93.5</v>
      </c>
      <c r="T49" s="3">
        <f>3.827*10^(17)</f>
        <v>3.827E+17</v>
      </c>
      <c r="U49" s="11">
        <v>55.4</v>
      </c>
      <c r="V49" s="9">
        <v>93.5</v>
      </c>
      <c r="W49" s="9">
        <f>3.827*10^(17)</f>
        <v>3.827E+17</v>
      </c>
      <c r="X49" s="20">
        <v>55.4</v>
      </c>
      <c r="Y49" s="3">
        <v>93.5</v>
      </c>
      <c r="Z49" s="7">
        <f>3.827*10^(17)</f>
        <v>3.827E+17</v>
      </c>
    </row>
    <row r="50" spans="1:26" x14ac:dyDescent="0.2">
      <c r="A50" t="s">
        <v>27</v>
      </c>
      <c r="B50">
        <v>10</v>
      </c>
      <c r="C50">
        <v>1.9320958197359248E+16</v>
      </c>
      <c r="D50" s="1">
        <f t="shared" si="5"/>
        <v>7.6359814861698787</v>
      </c>
      <c r="E50" s="1">
        <v>52431452737340.703</v>
      </c>
      <c r="F50" s="1">
        <f t="shared" si="6"/>
        <v>2.0460630012080813E-2</v>
      </c>
      <c r="G50" s="1">
        <f t="shared" si="7"/>
        <v>7.6564421161819594</v>
      </c>
      <c r="H50" s="1">
        <v>7550407098360421</v>
      </c>
      <c r="I50" s="1">
        <f t="shared" si="8"/>
        <v>2.9088250528389534</v>
      </c>
      <c r="J50">
        <v>1.0537090158299536E+16</v>
      </c>
      <c r="K50">
        <v>645.5</v>
      </c>
      <c r="L50">
        <v>1.0537090158299536E+16</v>
      </c>
      <c r="M50">
        <v>662.6</v>
      </c>
      <c r="N50" s="2">
        <f t="shared" si="9"/>
        <v>8.3487424787576305</v>
      </c>
      <c r="O50" s="10">
        <v>35.200000000000003</v>
      </c>
      <c r="P50" s="8">
        <v>48.4</v>
      </c>
      <c r="Q50" s="8">
        <f>1.86*10^(16)</f>
        <v>1.86E+16</v>
      </c>
      <c r="R50" s="19">
        <v>35.200000000000003</v>
      </c>
      <c r="S50">
        <v>48.4</v>
      </c>
      <c r="T50">
        <f>1.859*10^(16)</f>
        <v>1.859E+16</v>
      </c>
      <c r="U50" s="10">
        <v>30.5</v>
      </c>
      <c r="V50" s="8">
        <v>43</v>
      </c>
      <c r="W50" s="8">
        <f>1.076*10^(16)</f>
        <v>1.076E+16</v>
      </c>
      <c r="X50" s="19">
        <v>27.1</v>
      </c>
      <c r="Y50" s="21">
        <v>38.9</v>
      </c>
      <c r="Z50" s="6">
        <f>7.139*10^(15)</f>
        <v>7139000000000000</v>
      </c>
    </row>
    <row r="51" spans="1:26" x14ac:dyDescent="0.2">
      <c r="A51" t="s">
        <v>27</v>
      </c>
      <c r="B51">
        <v>50</v>
      </c>
      <c r="C51">
        <v>9.6604790986796224E+16</v>
      </c>
      <c r="D51" s="1">
        <f t="shared" si="5"/>
        <v>38.17990743084939</v>
      </c>
      <c r="E51" s="1">
        <v>262157263686704</v>
      </c>
      <c r="F51" s="1">
        <f t="shared" si="6"/>
        <v>0.10230315006040426</v>
      </c>
      <c r="G51" s="1">
        <f t="shared" si="7"/>
        <v>38.282210580909798</v>
      </c>
      <c r="H51" s="1">
        <v>3.7752035491802144E+16</v>
      </c>
      <c r="I51" s="1">
        <f t="shared" si="8"/>
        <v>14.544125264194783</v>
      </c>
      <c r="J51">
        <v>5.268545079149744E+16</v>
      </c>
      <c r="K51">
        <v>663.8</v>
      </c>
      <c r="L51">
        <v>5.268545079149744E+16</v>
      </c>
      <c r="M51">
        <v>682.2</v>
      </c>
      <c r="N51" s="2">
        <f t="shared" si="9"/>
        <v>41.743712393788158</v>
      </c>
      <c r="O51" s="10">
        <v>48.3</v>
      </c>
      <c r="P51" s="8">
        <v>82.9</v>
      </c>
      <c r="Q51" s="8">
        <f>9.3*10^(16)</f>
        <v>9.3E+16</v>
      </c>
      <c r="R51" s="19">
        <v>48.3</v>
      </c>
      <c r="S51">
        <v>82.9</v>
      </c>
      <c r="T51">
        <f>9.3*10^(16)</f>
        <v>9.3E+16</v>
      </c>
      <c r="U51" s="10">
        <v>43.5</v>
      </c>
      <c r="V51" s="8">
        <v>61.7</v>
      </c>
      <c r="W51" s="8">
        <f>5.381*10^(16)</f>
        <v>5.381E+16</v>
      </c>
      <c r="X51" s="19">
        <v>39.6</v>
      </c>
      <c r="Y51" s="21">
        <v>53.1</v>
      </c>
      <c r="Z51" s="6">
        <f>3.57*10^(16)</f>
        <v>3.57E+16</v>
      </c>
    </row>
    <row r="52" spans="1:26" x14ac:dyDescent="0.2">
      <c r="A52" t="s">
        <v>27</v>
      </c>
      <c r="B52">
        <v>100</v>
      </c>
      <c r="C52">
        <v>1.9320958197359245E+17</v>
      </c>
      <c r="D52" s="1">
        <f t="shared" si="5"/>
        <v>76.35981486169878</v>
      </c>
      <c r="E52" s="1">
        <v>524314527373407</v>
      </c>
      <c r="F52" s="1">
        <f t="shared" si="6"/>
        <v>0.20460630012080813</v>
      </c>
      <c r="G52" s="1">
        <f t="shared" si="7"/>
        <v>76.564421161819581</v>
      </c>
      <c r="H52" s="1">
        <v>7.5504070983604288E+16</v>
      </c>
      <c r="I52" s="1">
        <f t="shared" si="8"/>
        <v>29.088250528389565</v>
      </c>
      <c r="J52">
        <v>1.0537090158299488E+17</v>
      </c>
      <c r="K52">
        <v>672.1</v>
      </c>
      <c r="L52">
        <v>1.0537090158299488E+17</v>
      </c>
      <c r="M52">
        <v>691.1</v>
      </c>
      <c r="N52" s="2">
        <f t="shared" si="9"/>
        <v>83.487424787576302</v>
      </c>
      <c r="O52" s="10">
        <v>53.3</v>
      </c>
      <c r="P52" s="8">
        <v>102.3</v>
      </c>
      <c r="Q52" s="8">
        <f>1.86*10^(17)</f>
        <v>1.86E+17</v>
      </c>
      <c r="R52" s="19">
        <v>53.3</v>
      </c>
      <c r="S52">
        <v>102.3</v>
      </c>
      <c r="T52">
        <f>1.86*10^(17)</f>
        <v>1.86E+17</v>
      </c>
      <c r="U52" s="10">
        <v>48.9</v>
      </c>
      <c r="V52" s="8">
        <v>84.7</v>
      </c>
      <c r="W52" s="8">
        <f>1.076*10^(17)</f>
        <v>1.076E+17</v>
      </c>
      <c r="X52" s="19">
        <v>45.2</v>
      </c>
      <c r="Y52" s="21">
        <v>66.8</v>
      </c>
      <c r="Z52" s="6">
        <f>7.141*10^(16)</f>
        <v>7.141E+16</v>
      </c>
    </row>
    <row r="53" spans="1:26" x14ac:dyDescent="0.2">
      <c r="A53" t="s">
        <v>27</v>
      </c>
      <c r="B53">
        <v>200</v>
      </c>
      <c r="C53">
        <v>3.864191639471849E+17</v>
      </c>
      <c r="D53" s="1">
        <f t="shared" si="5"/>
        <v>152.71962972339756</v>
      </c>
      <c r="E53" s="1">
        <v>1048629054746814</v>
      </c>
      <c r="F53" s="1">
        <f t="shared" si="6"/>
        <v>0.40921260024161626</v>
      </c>
      <c r="G53" s="1">
        <f t="shared" si="7"/>
        <v>153.12884232363916</v>
      </c>
      <c r="H53" s="1">
        <v>1.5100814196720858E+17</v>
      </c>
      <c r="I53" s="1">
        <f t="shared" si="8"/>
        <v>58.176501056779131</v>
      </c>
      <c r="J53">
        <v>2.1074180316598976E+17</v>
      </c>
      <c r="K53">
        <v>680.6</v>
      </c>
      <c r="L53">
        <v>2.1074180316598976E+17</v>
      </c>
      <c r="M53">
        <v>700.3</v>
      </c>
      <c r="N53" s="2">
        <f t="shared" si="9"/>
        <v>166.9748495751526</v>
      </c>
      <c r="O53" s="10">
        <v>58.9</v>
      </c>
      <c r="P53" s="8">
        <v>112.3</v>
      </c>
      <c r="Q53" s="8">
        <f>3.72*10^(17)</f>
        <v>3.72E+17</v>
      </c>
      <c r="R53" s="19">
        <v>58.9</v>
      </c>
      <c r="S53">
        <v>112.3</v>
      </c>
      <c r="T53">
        <f>3.72*10^(17)</f>
        <v>3.72E+17</v>
      </c>
      <c r="U53" s="10">
        <v>53.8</v>
      </c>
      <c r="V53" s="8">
        <v>103.3</v>
      </c>
      <c r="W53" s="8">
        <f>2.152*10^(17)</f>
        <v>2.152E+17</v>
      </c>
      <c r="X53" s="19">
        <v>50.5</v>
      </c>
      <c r="Y53" s="21">
        <v>89.7</v>
      </c>
      <c r="Z53" s="6">
        <f>1.428*10^(17)</f>
        <v>1.428E+17</v>
      </c>
    </row>
    <row r="54" spans="1:26" x14ac:dyDescent="0.2">
      <c r="A54" t="s">
        <v>27</v>
      </c>
      <c r="B54">
        <v>300</v>
      </c>
      <c r="C54">
        <v>5.7962874592077747E+17</v>
      </c>
      <c r="D54" s="1">
        <f t="shared" si="5"/>
        <v>229.07944458509638</v>
      </c>
      <c r="E54" s="1">
        <v>1572943582120222</v>
      </c>
      <c r="F54" s="1">
        <f t="shared" si="6"/>
        <v>0.61381890036242481</v>
      </c>
      <c r="G54" s="1">
        <f t="shared" si="7"/>
        <v>229.6932634854588</v>
      </c>
      <c r="H54" s="1">
        <v>2.2651221295081299E+17</v>
      </c>
      <c r="I54" s="1">
        <f t="shared" si="8"/>
        <v>87.264751585168739</v>
      </c>
      <c r="J54">
        <v>3.1611270474898675E+17</v>
      </c>
      <c r="K54">
        <v>685.7</v>
      </c>
      <c r="L54">
        <v>3.1611270474898675E+17</v>
      </c>
      <c r="M54">
        <v>705.8</v>
      </c>
      <c r="N54" s="2">
        <f t="shared" si="9"/>
        <v>250.46227436272895</v>
      </c>
      <c r="O54" s="10">
        <v>59.9</v>
      </c>
      <c r="P54" s="8">
        <v>113.6</v>
      </c>
      <c r="Q54" s="8">
        <f>5.58*10^(17)</f>
        <v>5.58E+17</v>
      </c>
      <c r="R54" s="19">
        <v>59.9</v>
      </c>
      <c r="S54">
        <v>113.6</v>
      </c>
      <c r="T54">
        <f>5.58*10^(17)</f>
        <v>5.58E+17</v>
      </c>
      <c r="U54" s="10">
        <v>57.1</v>
      </c>
      <c r="V54" s="8">
        <v>109.9</v>
      </c>
      <c r="W54" s="8">
        <f>3.229*10^(17)</f>
        <v>3.229E+17</v>
      </c>
      <c r="X54" s="19">
        <v>53.2</v>
      </c>
      <c r="Y54" s="21">
        <v>100.3</v>
      </c>
      <c r="Z54" s="6">
        <f>2.142*10^(17)</f>
        <v>2.142E+17</v>
      </c>
    </row>
    <row r="55" spans="1:26" x14ac:dyDescent="0.2">
      <c r="A55" t="s">
        <v>27</v>
      </c>
      <c r="B55">
        <v>400</v>
      </c>
      <c r="C55">
        <v>7.7283832789436979E+17</v>
      </c>
      <c r="D55" s="1">
        <f t="shared" si="5"/>
        <v>305.43925944679512</v>
      </c>
      <c r="E55" s="1">
        <v>2097258109493629</v>
      </c>
      <c r="F55" s="1">
        <f t="shared" si="6"/>
        <v>0.81842520048323297</v>
      </c>
      <c r="G55" s="1">
        <f t="shared" si="7"/>
        <v>306.25768464727832</v>
      </c>
      <c r="H55" s="1">
        <v>3.0201628393441715E+17</v>
      </c>
      <c r="I55" s="1">
        <f t="shared" si="8"/>
        <v>116.35300211355826</v>
      </c>
      <c r="J55">
        <v>4.2148360633197952E+17</v>
      </c>
      <c r="K55">
        <v>689.3</v>
      </c>
      <c r="L55">
        <v>4.2148360633197952E+17</v>
      </c>
      <c r="M55">
        <v>709.7</v>
      </c>
      <c r="N55" s="2">
        <f t="shared" si="9"/>
        <v>333.94969915030521</v>
      </c>
      <c r="O55" s="10">
        <v>57.8</v>
      </c>
      <c r="P55" s="8">
        <v>111.6</v>
      </c>
      <c r="Q55" s="8">
        <f>7.44*10^(17)</f>
        <v>7.44E+17</v>
      </c>
      <c r="R55" s="19">
        <v>57.8</v>
      </c>
      <c r="S55">
        <v>111.6</v>
      </c>
      <c r="T55">
        <f>7.44*10^(17)</f>
        <v>7.44E+17</v>
      </c>
      <c r="U55" s="10">
        <v>59.2</v>
      </c>
      <c r="V55" s="8">
        <v>112.6</v>
      </c>
      <c r="W55" s="8">
        <f>4.305*10^(17)</f>
        <v>4.305E+17</v>
      </c>
      <c r="X55" s="19">
        <v>55.2</v>
      </c>
      <c r="Y55" s="21">
        <v>105.9</v>
      </c>
      <c r="Z55" s="6">
        <f>2.856*10^(17)</f>
        <v>2.856E+17</v>
      </c>
    </row>
    <row r="56" spans="1:26" x14ac:dyDescent="0.2">
      <c r="A56" t="s">
        <v>27</v>
      </c>
      <c r="B56">
        <v>500</v>
      </c>
      <c r="C56">
        <v>9.6604790986796237E+17</v>
      </c>
      <c r="D56" s="1">
        <f t="shared" si="5"/>
        <v>381.79907430849397</v>
      </c>
      <c r="E56" s="1">
        <v>2621572636867036</v>
      </c>
      <c r="F56" s="1">
        <f t="shared" si="6"/>
        <v>1.0230315006040411</v>
      </c>
      <c r="G56" s="1">
        <f t="shared" si="7"/>
        <v>382.82210580909799</v>
      </c>
      <c r="H56" s="1">
        <v>3.7752035491802125E+17</v>
      </c>
      <c r="I56" s="1">
        <f t="shared" si="8"/>
        <v>145.44125264194776</v>
      </c>
      <c r="J56">
        <v>5.2685450791497504E+17</v>
      </c>
      <c r="K56">
        <v>692.2</v>
      </c>
      <c r="L56">
        <v>5.2685450791497504E+17</v>
      </c>
      <c r="M56">
        <v>712.8</v>
      </c>
      <c r="N56" s="2">
        <f t="shared" si="9"/>
        <v>417.43712393788155</v>
      </c>
      <c r="O56" s="10">
        <v>55</v>
      </c>
      <c r="P56" s="8">
        <v>107.6</v>
      </c>
      <c r="Q56" s="8">
        <f>9.3*10^(17)</f>
        <v>9.3000000000000013E+17</v>
      </c>
      <c r="R56" s="19">
        <v>55</v>
      </c>
      <c r="S56">
        <v>107.6</v>
      </c>
      <c r="T56">
        <f>9.3*10^(17)</f>
        <v>9.3000000000000013E+17</v>
      </c>
      <c r="U56" s="10">
        <v>60</v>
      </c>
      <c r="V56" s="8">
        <v>113.5</v>
      </c>
      <c r="W56" s="8">
        <f>5.381*10^(17)</f>
        <v>5.381E+17</v>
      </c>
      <c r="X56" s="19">
        <v>57</v>
      </c>
      <c r="Y56" s="21">
        <v>109.2</v>
      </c>
      <c r="Z56" s="6">
        <f>3.571*10^(17)</f>
        <v>3.571E+17</v>
      </c>
    </row>
    <row r="57" spans="1:26" x14ac:dyDescent="0.2">
      <c r="A57" t="s">
        <v>27</v>
      </c>
      <c r="B57">
        <v>600</v>
      </c>
      <c r="C57">
        <v>1.1592574918415549E+18</v>
      </c>
      <c r="D57" s="1">
        <f t="shared" si="5"/>
        <v>458.15888917019277</v>
      </c>
      <c r="E57" s="1">
        <v>3145887164240444</v>
      </c>
      <c r="F57" s="1">
        <f t="shared" si="6"/>
        <v>1.2276378007248496</v>
      </c>
      <c r="G57" s="1">
        <f t="shared" si="7"/>
        <v>459.3865269709176</v>
      </c>
      <c r="H57" s="1">
        <v>4.5302442590162598E+17</v>
      </c>
      <c r="I57" s="1">
        <f t="shared" si="8"/>
        <v>174.52950317033748</v>
      </c>
      <c r="J57">
        <v>6.322254094979735E+17</v>
      </c>
      <c r="K57">
        <v>694.5</v>
      </c>
      <c r="L57">
        <v>6.322254094979735E+17</v>
      </c>
      <c r="M57">
        <v>715.3</v>
      </c>
      <c r="N57" s="2">
        <f t="shared" si="9"/>
        <v>500.9245487254579</v>
      </c>
      <c r="O57" s="10">
        <v>52.6</v>
      </c>
      <c r="P57" s="8">
        <v>101.8</v>
      </c>
      <c r="Q57" s="8">
        <f>1.116*10^(18)</f>
        <v>1.1160000000000001E+18</v>
      </c>
      <c r="R57" s="19">
        <v>52.6</v>
      </c>
      <c r="S57">
        <v>101.8</v>
      </c>
      <c r="T57">
        <f>1.116*10^(18)</f>
        <v>1.1160000000000001E+18</v>
      </c>
      <c r="U57" s="10">
        <v>59.7</v>
      </c>
      <c r="V57" s="8">
        <v>113.4</v>
      </c>
      <c r="W57" s="8">
        <f>6.457*10^(17)</f>
        <v>6.457E+17</v>
      </c>
      <c r="X57" s="19">
        <v>58.5</v>
      </c>
      <c r="Y57" s="21">
        <v>111.2</v>
      </c>
      <c r="Z57" s="6">
        <f>4.285*10^(17)</f>
        <v>4.285E+17</v>
      </c>
    </row>
    <row r="58" spans="1:26" x14ac:dyDescent="0.2">
      <c r="A58" t="s">
        <v>27</v>
      </c>
      <c r="B58">
        <v>700</v>
      </c>
      <c r="C58">
        <v>1.3524670738151473E+18</v>
      </c>
      <c r="D58" s="1">
        <f t="shared" si="5"/>
        <v>534.5187040318915</v>
      </c>
      <c r="E58" s="1">
        <v>3670201691613851</v>
      </c>
      <c r="F58" s="1">
        <f t="shared" si="6"/>
        <v>1.4322441008456577</v>
      </c>
      <c r="G58" s="1">
        <f t="shared" si="7"/>
        <v>535.95094813273715</v>
      </c>
      <c r="H58" s="1">
        <v>5.2852849688522957E+17</v>
      </c>
      <c r="I58" s="1">
        <f t="shared" si="8"/>
        <v>203.61775369872677</v>
      </c>
      <c r="J58">
        <v>7.3759631108096243E+17</v>
      </c>
      <c r="K58">
        <v>696.5</v>
      </c>
      <c r="L58">
        <v>7.3759631108096243E+17</v>
      </c>
      <c r="M58">
        <v>717.5</v>
      </c>
      <c r="N58" s="2">
        <f t="shared" si="9"/>
        <v>584.41197351303413</v>
      </c>
      <c r="O58" s="10">
        <v>50.4</v>
      </c>
      <c r="P58" s="8">
        <v>94.2</v>
      </c>
      <c r="Q58" s="8">
        <f>1.302*10^(18)</f>
        <v>1.302E+18</v>
      </c>
      <c r="R58" s="19">
        <v>50.4</v>
      </c>
      <c r="S58">
        <v>94.2</v>
      </c>
      <c r="T58">
        <f>1.302*10^(18)</f>
        <v>1.302E+18</v>
      </c>
      <c r="U58" s="10">
        <v>58.5</v>
      </c>
      <c r="V58" s="8">
        <v>112.5</v>
      </c>
      <c r="W58" s="8">
        <f>7.533*10^(17)</f>
        <v>7.533E+17</v>
      </c>
      <c r="X58" s="19">
        <v>59.4</v>
      </c>
      <c r="Y58" s="21">
        <v>112.4</v>
      </c>
      <c r="Z58" s="6">
        <f>4.999*10^(17)</f>
        <v>4.9989999999999994E+17</v>
      </c>
    </row>
    <row r="59" spans="1:26" x14ac:dyDescent="0.2">
      <c r="A59" t="s">
        <v>27</v>
      </c>
      <c r="B59">
        <v>800</v>
      </c>
      <c r="C59">
        <v>1.5456766557887396E+18</v>
      </c>
      <c r="D59" s="1">
        <f t="shared" si="5"/>
        <v>610.87851889359024</v>
      </c>
      <c r="E59" s="1">
        <v>4194516218987258</v>
      </c>
      <c r="F59" s="1">
        <f t="shared" si="6"/>
        <v>1.6368504009664659</v>
      </c>
      <c r="G59" s="1">
        <f t="shared" si="7"/>
        <v>612.51536929455665</v>
      </c>
      <c r="H59" s="1">
        <v>6.040325678688343E+17</v>
      </c>
      <c r="I59" s="1">
        <f t="shared" si="8"/>
        <v>232.70600422711652</v>
      </c>
      <c r="J59">
        <v>8.4296721266395904E+17</v>
      </c>
      <c r="K59">
        <v>698.2</v>
      </c>
      <c r="L59">
        <v>8.4296721266395904E+17</v>
      </c>
      <c r="M59">
        <v>719.3</v>
      </c>
      <c r="N59" s="2">
        <f t="shared" si="9"/>
        <v>667.89939830061041</v>
      </c>
      <c r="O59" s="10">
        <v>47.8</v>
      </c>
      <c r="P59" s="8">
        <v>85</v>
      </c>
      <c r="Q59" s="8">
        <f>1.488*10^(18)</f>
        <v>1.488E+18</v>
      </c>
      <c r="R59" s="19">
        <v>47.8</v>
      </c>
      <c r="S59">
        <v>85</v>
      </c>
      <c r="T59">
        <f>1.488*10^(18)</f>
        <v>1.488E+18</v>
      </c>
      <c r="U59" s="10">
        <v>57</v>
      </c>
      <c r="V59" s="8">
        <v>110.9</v>
      </c>
      <c r="W59" s="8">
        <f>8.609*10^(17)</f>
        <v>8.609E+17</v>
      </c>
      <c r="X59" s="19">
        <v>59.9</v>
      </c>
      <c r="Y59" s="21">
        <v>113.1</v>
      </c>
      <c r="Z59" s="6">
        <f>5.713*10^(17)</f>
        <v>5.713E+17</v>
      </c>
    </row>
    <row r="60" spans="1:26" x14ac:dyDescent="0.2">
      <c r="A60" t="s">
        <v>27</v>
      </c>
      <c r="B60">
        <v>900</v>
      </c>
      <c r="C60">
        <v>1.7388862377623322E+18</v>
      </c>
      <c r="D60" s="1">
        <f t="shared" si="5"/>
        <v>687.23833375528909</v>
      </c>
      <c r="E60" s="1">
        <v>4718830746360665</v>
      </c>
      <c r="F60" s="1">
        <f t="shared" si="6"/>
        <v>1.8414567010872738</v>
      </c>
      <c r="G60" s="1">
        <f t="shared" si="7"/>
        <v>689.07979045637637</v>
      </c>
      <c r="H60" s="1">
        <v>6.7953663885243789E+17</v>
      </c>
      <c r="I60" s="1">
        <f t="shared" si="8"/>
        <v>261.79425475550585</v>
      </c>
      <c r="J60">
        <v>9.483381142469577E+17</v>
      </c>
      <c r="K60">
        <v>699.7</v>
      </c>
      <c r="L60">
        <v>9.483381142469577E+17</v>
      </c>
      <c r="M60">
        <v>721</v>
      </c>
      <c r="N60" s="2">
        <f t="shared" si="9"/>
        <v>751.3868230881867</v>
      </c>
      <c r="O60" s="10">
        <v>45.3</v>
      </c>
      <c r="P60" s="8">
        <v>74.7</v>
      </c>
      <c r="Q60" s="8">
        <f>1.674*10^(18)</f>
        <v>1.674E+18</v>
      </c>
      <c r="R60" s="19">
        <v>45.3</v>
      </c>
      <c r="S60">
        <v>74.7</v>
      </c>
      <c r="T60">
        <f>1.674*10^(18)</f>
        <v>1.674E+18</v>
      </c>
      <c r="U60" s="10">
        <v>55.5</v>
      </c>
      <c r="V60" s="8">
        <v>108.9</v>
      </c>
      <c r="W60" s="8">
        <f>9.686*10^(17)</f>
        <v>9.686E+17</v>
      </c>
      <c r="X60" s="19">
        <v>60</v>
      </c>
      <c r="Y60" s="21">
        <v>113.3</v>
      </c>
      <c r="Z60" s="6">
        <f>6.427*10^(17)</f>
        <v>6.427E+17</v>
      </c>
    </row>
    <row r="61" spans="1:26" s="3" customFormat="1" x14ac:dyDescent="0.2">
      <c r="A61" s="3" t="s">
        <v>27</v>
      </c>
      <c r="B61" s="3">
        <v>1000</v>
      </c>
      <c r="C61" s="3">
        <v>1.9320958197359247E+18</v>
      </c>
      <c r="D61" s="4">
        <f t="shared" si="5"/>
        <v>763.59814861698794</v>
      </c>
      <c r="E61" s="4">
        <v>5243145273734073</v>
      </c>
      <c r="F61" s="4">
        <f t="shared" si="6"/>
        <v>2.0460630012080827</v>
      </c>
      <c r="G61" s="4">
        <f t="shared" si="7"/>
        <v>765.64421161819598</v>
      </c>
      <c r="H61" s="4">
        <v>7.550407098360425E+17</v>
      </c>
      <c r="I61" s="4">
        <f t="shared" si="8"/>
        <v>290.88250528389551</v>
      </c>
      <c r="J61" s="3">
        <v>1.0537090158299501E+18</v>
      </c>
      <c r="K61" s="3">
        <v>701.1</v>
      </c>
      <c r="L61" s="3">
        <v>1.0537090158299501E+18</v>
      </c>
      <c r="M61" s="3">
        <v>722.5</v>
      </c>
      <c r="N61" s="5">
        <f t="shared" si="9"/>
        <v>834.8742478757631</v>
      </c>
      <c r="O61" s="11">
        <v>42.7</v>
      </c>
      <c r="P61" s="9">
        <v>64.400000000000006</v>
      </c>
      <c r="Q61" s="9">
        <f>1.86*10^(18)</f>
        <v>1.86E+18</v>
      </c>
      <c r="R61" s="20">
        <v>42.7</v>
      </c>
      <c r="S61" s="3">
        <v>64.400000000000006</v>
      </c>
      <c r="T61" s="3">
        <f>1.86*10^(18)</f>
        <v>1.86E+18</v>
      </c>
      <c r="U61" s="11">
        <v>54</v>
      </c>
      <c r="V61" s="9">
        <v>106.3</v>
      </c>
      <c r="W61" s="9">
        <f>1.076*10^(18)</f>
        <v>1.0760000000000001E+18</v>
      </c>
      <c r="X61" s="20">
        <v>59.7</v>
      </c>
      <c r="Y61" s="3">
        <v>113.2</v>
      </c>
      <c r="Z61" s="7">
        <f>7.141*10^(17)</f>
        <v>7.141E+17</v>
      </c>
    </row>
    <row r="62" spans="1:26" x14ac:dyDescent="0.2">
      <c r="A62" t="s">
        <v>28</v>
      </c>
      <c r="B62">
        <v>10</v>
      </c>
      <c r="C62">
        <v>1.9320958197359248E+16</v>
      </c>
      <c r="D62" s="1">
        <f t="shared" si="5"/>
        <v>7.6359814861698787</v>
      </c>
      <c r="E62" s="1">
        <v>52431452737340.703</v>
      </c>
      <c r="F62" s="1">
        <f t="shared" si="6"/>
        <v>2.0460630012080813E-2</v>
      </c>
      <c r="G62" s="1">
        <f t="shared" si="7"/>
        <v>7.6564421161819594</v>
      </c>
      <c r="H62" s="1">
        <v>7550407098360421</v>
      </c>
      <c r="I62" s="1">
        <f t="shared" si="8"/>
        <v>2.9088250528389534</v>
      </c>
      <c r="J62">
        <v>1.685305290838484E+16</v>
      </c>
      <c r="K62">
        <v>645.5</v>
      </c>
      <c r="L62">
        <v>1.685305290838484E+16</v>
      </c>
      <c r="M62">
        <v>662.6</v>
      </c>
      <c r="N62" s="2">
        <f t="shared" si="9"/>
        <v>8.3487424787576305</v>
      </c>
      <c r="O62" s="10">
        <v>40.299999999999997</v>
      </c>
      <c r="P62" s="8">
        <v>60.9</v>
      </c>
      <c r="Q62" s="8">
        <f>3.385*10^(16)</f>
        <v>3.3849999999999996E+16</v>
      </c>
      <c r="R62" s="19">
        <v>40.200000000000003</v>
      </c>
      <c r="S62">
        <v>56.8</v>
      </c>
      <c r="T62">
        <f>3.32*10^(16)</f>
        <v>3.32E+16</v>
      </c>
      <c r="U62" s="10">
        <v>34</v>
      </c>
      <c r="V62" s="8">
        <v>47.1</v>
      </c>
      <c r="W62" s="8">
        <f>1.651*10^(16)</f>
        <v>1.651E+16</v>
      </c>
      <c r="X62" s="19">
        <v>29.6</v>
      </c>
      <c r="Y62" s="21">
        <v>42</v>
      </c>
      <c r="Z62" s="6">
        <f>9.776*10^(15)</f>
        <v>9776000000000000</v>
      </c>
    </row>
    <row r="63" spans="1:26" x14ac:dyDescent="0.2">
      <c r="A63" t="s">
        <v>28</v>
      </c>
      <c r="B63">
        <v>50</v>
      </c>
      <c r="C63">
        <v>9.6604790986796224E+16</v>
      </c>
      <c r="D63" s="1">
        <f t="shared" si="5"/>
        <v>38.17990743084939</v>
      </c>
      <c r="E63" s="1">
        <v>262157263686704</v>
      </c>
      <c r="F63" s="1">
        <f t="shared" si="6"/>
        <v>0.10230315006040426</v>
      </c>
      <c r="G63" s="1">
        <f t="shared" si="7"/>
        <v>38.282210580909798</v>
      </c>
      <c r="H63" s="1">
        <v>3.7752035491802144E+16</v>
      </c>
      <c r="I63" s="1">
        <f t="shared" si="8"/>
        <v>14.544125264194783</v>
      </c>
      <c r="J63">
        <v>8.4265264541923888E+16</v>
      </c>
      <c r="K63">
        <v>663.8</v>
      </c>
      <c r="L63">
        <v>8.4265264541923888E+16</v>
      </c>
      <c r="M63">
        <v>682.2</v>
      </c>
      <c r="N63" s="2">
        <f t="shared" si="9"/>
        <v>41.743712393788158</v>
      </c>
      <c r="O63" s="10">
        <v>53</v>
      </c>
      <c r="P63" s="8">
        <v>633.5</v>
      </c>
      <c r="Q63" s="8">
        <f>1.693*10^(17)</f>
        <v>1.693E+17</v>
      </c>
      <c r="R63" s="19">
        <v>52.8</v>
      </c>
      <c r="S63">
        <v>405.4</v>
      </c>
      <c r="T63">
        <f>1.66*10^(17)</f>
        <v>1.66E+17</v>
      </c>
      <c r="U63" s="10">
        <v>47.1</v>
      </c>
      <c r="V63" s="8">
        <v>162.5</v>
      </c>
      <c r="W63" s="8">
        <f>8.256*10^(16)</f>
        <v>8.256E+16</v>
      </c>
      <c r="X63" s="19">
        <v>42.5</v>
      </c>
      <c r="Y63" s="21">
        <v>65.2</v>
      </c>
      <c r="Z63" s="6">
        <f>4.889*10^(16)</f>
        <v>4.889E+16</v>
      </c>
    </row>
    <row r="64" spans="1:26" x14ac:dyDescent="0.2">
      <c r="A64" t="s">
        <v>28</v>
      </c>
      <c r="B64">
        <v>100</v>
      </c>
      <c r="C64">
        <v>1.9320958197359245E+17</v>
      </c>
      <c r="D64" s="1">
        <f t="shared" si="5"/>
        <v>76.35981486169878</v>
      </c>
      <c r="E64" s="1">
        <v>524314527373407</v>
      </c>
      <c r="F64" s="1">
        <f t="shared" si="6"/>
        <v>0.20460630012080813</v>
      </c>
      <c r="G64" s="1">
        <f t="shared" si="7"/>
        <v>76.564421161819581</v>
      </c>
      <c r="H64" s="1">
        <v>7.5504070983604288E+16</v>
      </c>
      <c r="I64" s="1">
        <f t="shared" si="8"/>
        <v>29.088250528389565</v>
      </c>
      <c r="J64">
        <v>1.6853052908384778E+17</v>
      </c>
      <c r="K64">
        <v>672.1</v>
      </c>
      <c r="L64">
        <v>1.6853052908384778E+17</v>
      </c>
      <c r="M64">
        <v>691.1</v>
      </c>
      <c r="N64" s="2">
        <f t="shared" si="9"/>
        <v>83.487424787576302</v>
      </c>
      <c r="O64" s="10">
        <v>90.5</v>
      </c>
      <c r="P64" s="8">
        <v>758.2</v>
      </c>
      <c r="Q64" s="8">
        <f>3.386*10^(17)</f>
        <v>3.386E+17</v>
      </c>
      <c r="R64" s="19">
        <v>74.5</v>
      </c>
      <c r="S64">
        <v>520.29999999999995</v>
      </c>
      <c r="T64">
        <f>3.321*10^(17)</f>
        <v>3.321E+17</v>
      </c>
      <c r="U64" s="10">
        <v>52.5</v>
      </c>
      <c r="V64" s="8">
        <v>269.7</v>
      </c>
      <c r="W64" s="8">
        <f>1.651*10^(17)</f>
        <v>1.651E+17</v>
      </c>
      <c r="X64" s="19">
        <v>48</v>
      </c>
      <c r="Y64" s="21">
        <v>138.69999999999999</v>
      </c>
      <c r="Z64" s="6">
        <f>9.778*10^(16)</f>
        <v>9.778E+16</v>
      </c>
    </row>
    <row r="65" spans="1:26" x14ac:dyDescent="0.2">
      <c r="A65" t="s">
        <v>28</v>
      </c>
      <c r="B65">
        <v>200</v>
      </c>
      <c r="C65">
        <v>3.864191639471849E+17</v>
      </c>
      <c r="D65" s="1">
        <f t="shared" si="5"/>
        <v>152.71962972339756</v>
      </c>
      <c r="E65" s="1">
        <v>1048629054746814</v>
      </c>
      <c r="F65" s="1">
        <f t="shared" si="6"/>
        <v>0.40921260024161626</v>
      </c>
      <c r="G65" s="1">
        <f t="shared" si="7"/>
        <v>153.12884232363916</v>
      </c>
      <c r="H65" s="1">
        <v>1.5100814196720858E+17</v>
      </c>
      <c r="I65" s="1">
        <f t="shared" si="8"/>
        <v>58.176501056779131</v>
      </c>
      <c r="J65">
        <v>3.3706105816769555E+17</v>
      </c>
      <c r="K65">
        <v>680.6</v>
      </c>
      <c r="L65">
        <v>3.3706105816769555E+17</v>
      </c>
      <c r="M65">
        <v>700.3</v>
      </c>
      <c r="N65" s="2">
        <f t="shared" si="9"/>
        <v>166.9748495751526</v>
      </c>
      <c r="O65" s="10">
        <v>87.1</v>
      </c>
      <c r="P65" s="8">
        <v>755.6</v>
      </c>
      <c r="Q65" s="8">
        <f>6.772*10^(17)</f>
        <v>6.772E+17</v>
      </c>
      <c r="R65" s="19">
        <v>75.5</v>
      </c>
      <c r="S65">
        <v>588.70000000000005</v>
      </c>
      <c r="T65">
        <f>6.641*10^(17)</f>
        <v>6.641E+17</v>
      </c>
      <c r="U65" s="10">
        <v>66</v>
      </c>
      <c r="V65" s="8">
        <v>331.3</v>
      </c>
      <c r="W65" s="8">
        <f>3.303*10^(17)</f>
        <v>3.303E+17</v>
      </c>
      <c r="X65" s="19">
        <v>53.1</v>
      </c>
      <c r="Y65" s="21">
        <v>208.7</v>
      </c>
      <c r="Z65" s="6">
        <f>1.956*10^(17)</f>
        <v>1.956E+17</v>
      </c>
    </row>
    <row r="66" spans="1:26" x14ac:dyDescent="0.2">
      <c r="A66" t="s">
        <v>28</v>
      </c>
      <c r="B66">
        <v>300</v>
      </c>
      <c r="C66">
        <v>5.7962874592077747E+17</v>
      </c>
      <c r="D66" s="1">
        <f t="shared" ref="D66:D97" si="10">C66/(6.022*10^(23))*238*10^6</f>
        <v>229.07944458509638</v>
      </c>
      <c r="E66" s="1">
        <v>1572943582120222</v>
      </c>
      <c r="F66" s="1">
        <f t="shared" ref="F66:F97" si="11">E66/(6.022*10^(23))*235*10^6</f>
        <v>0.61381890036242481</v>
      </c>
      <c r="G66" s="1">
        <f t="shared" ref="G66:G97" si="12">D66+F66</f>
        <v>229.6932634854588</v>
      </c>
      <c r="H66" s="1">
        <v>2.2651221295081299E+17</v>
      </c>
      <c r="I66" s="1">
        <f t="shared" ref="I66:I97" si="13">H66/(6.022*10^(23))*232*10^6</f>
        <v>87.264751585168739</v>
      </c>
      <c r="J66">
        <v>5.0559158725154336E+17</v>
      </c>
      <c r="K66">
        <v>685.7</v>
      </c>
      <c r="L66">
        <v>5.0559158725154336E+17</v>
      </c>
      <c r="M66">
        <v>705.8</v>
      </c>
      <c r="N66" s="2">
        <f t="shared" ref="N66:N97" si="14">G66+0.238*I66</f>
        <v>250.46227436272895</v>
      </c>
      <c r="O66" s="10">
        <v>53.4</v>
      </c>
      <c r="P66" s="8">
        <v>647.79999999999995</v>
      </c>
      <c r="Q66" s="8">
        <f>1.016*10^(18)</f>
        <v>1.016E+18</v>
      </c>
      <c r="R66" s="19">
        <v>53.8</v>
      </c>
      <c r="S66">
        <v>538.4</v>
      </c>
      <c r="T66">
        <f>9.962*10^(17)</f>
        <v>9.962E+17</v>
      </c>
      <c r="U66" s="10">
        <v>75</v>
      </c>
      <c r="V66" s="8">
        <v>345.6</v>
      </c>
      <c r="W66" s="8">
        <f>4.954*10^(17)</f>
        <v>4.954E+17</v>
      </c>
      <c r="X66" s="19">
        <v>58.2</v>
      </c>
      <c r="Y66" s="21">
        <v>233.7</v>
      </c>
      <c r="Z66" s="6">
        <f>2.934*10^(17)</f>
        <v>2.934E+17</v>
      </c>
    </row>
    <row r="67" spans="1:26" x14ac:dyDescent="0.2">
      <c r="A67" t="s">
        <v>28</v>
      </c>
      <c r="B67">
        <v>400</v>
      </c>
      <c r="C67">
        <v>7.7283832789436979E+17</v>
      </c>
      <c r="D67" s="1">
        <f t="shared" si="10"/>
        <v>305.43925944679512</v>
      </c>
      <c r="E67" s="1">
        <v>2097258109493629</v>
      </c>
      <c r="F67" s="1">
        <f t="shared" si="11"/>
        <v>0.81842520048323297</v>
      </c>
      <c r="G67" s="1">
        <f t="shared" si="12"/>
        <v>306.25768464727832</v>
      </c>
      <c r="H67" s="1">
        <v>3.0201628393441715E+17</v>
      </c>
      <c r="I67" s="1">
        <f t="shared" si="13"/>
        <v>116.35300211355826</v>
      </c>
      <c r="J67">
        <v>6.741221163353911E+17</v>
      </c>
      <c r="K67">
        <v>689.3</v>
      </c>
      <c r="L67">
        <v>6.741221163353911E+17</v>
      </c>
      <c r="M67">
        <v>709.7</v>
      </c>
      <c r="N67" s="2">
        <f t="shared" si="14"/>
        <v>333.94969915030521</v>
      </c>
      <c r="O67" s="10">
        <v>48.5</v>
      </c>
      <c r="P67" s="8">
        <v>452.2</v>
      </c>
      <c r="Q67" s="8">
        <f>1.355*10^(18)</f>
        <v>1.355E+18</v>
      </c>
      <c r="R67" s="19">
        <v>49.2</v>
      </c>
      <c r="S67">
        <v>399.1</v>
      </c>
      <c r="T67">
        <f>1.328*10^(18)</f>
        <v>1.328E+18</v>
      </c>
      <c r="U67" s="10">
        <v>71.2</v>
      </c>
      <c r="V67" s="8">
        <v>344.1</v>
      </c>
      <c r="W67" s="8">
        <f>6.605*10^(17)</f>
        <v>6.605E+17</v>
      </c>
      <c r="X67" s="19">
        <v>64.599999999999994</v>
      </c>
      <c r="Y67" s="21">
        <v>244.5</v>
      </c>
      <c r="Z67" s="6">
        <f>3.911*10^(17)</f>
        <v>3.911E+17</v>
      </c>
    </row>
    <row r="68" spans="1:26" x14ac:dyDescent="0.2">
      <c r="A68" t="s">
        <v>28</v>
      </c>
      <c r="B68">
        <v>500</v>
      </c>
      <c r="C68">
        <v>9.6604790986796237E+17</v>
      </c>
      <c r="D68" s="1">
        <f t="shared" si="10"/>
        <v>381.79907430849397</v>
      </c>
      <c r="E68" s="1">
        <v>2621572636867036</v>
      </c>
      <c r="F68" s="1">
        <f t="shared" si="11"/>
        <v>1.0230315006040411</v>
      </c>
      <c r="G68" s="1">
        <f t="shared" si="12"/>
        <v>382.82210580909799</v>
      </c>
      <c r="H68" s="1">
        <v>3.7752035491802125E+17</v>
      </c>
      <c r="I68" s="1">
        <f t="shared" si="13"/>
        <v>145.44125264194776</v>
      </c>
      <c r="J68">
        <v>8.4265264541923597E+17</v>
      </c>
      <c r="K68">
        <v>692.2</v>
      </c>
      <c r="L68">
        <v>8.4265264541923597E+17</v>
      </c>
      <c r="M68">
        <v>712.8</v>
      </c>
      <c r="N68" s="2">
        <f t="shared" si="14"/>
        <v>417.43712393788155</v>
      </c>
      <c r="O68" s="10">
        <v>44.2</v>
      </c>
      <c r="P68" s="8">
        <v>198</v>
      </c>
      <c r="Q68" s="8">
        <f>1.693*10^(18)</f>
        <v>1.693E+18</v>
      </c>
      <c r="R68" s="19">
        <v>44.8</v>
      </c>
      <c r="S68">
        <v>197.3</v>
      </c>
      <c r="T68">
        <f>1.66*10^(18)</f>
        <v>1.66E+18</v>
      </c>
      <c r="U68" s="10">
        <v>62.3</v>
      </c>
      <c r="V68" s="8">
        <v>333</v>
      </c>
      <c r="W68" s="8">
        <f>8.257*10^(17)</f>
        <v>8.257E+17</v>
      </c>
      <c r="X68" s="19">
        <v>68.5</v>
      </c>
      <c r="Y68" s="21">
        <v>249</v>
      </c>
      <c r="Z68" s="6">
        <f>4.889*10^(17)</f>
        <v>4.889E+17</v>
      </c>
    </row>
    <row r="69" spans="1:26" x14ac:dyDescent="0.2">
      <c r="A69" t="s">
        <v>28</v>
      </c>
      <c r="B69">
        <v>600</v>
      </c>
      <c r="C69">
        <v>1.1592574918415549E+18</v>
      </c>
      <c r="D69" s="1">
        <f t="shared" si="10"/>
        <v>458.15888917019277</v>
      </c>
      <c r="E69" s="1">
        <v>3145887164240444</v>
      </c>
      <c r="F69" s="1">
        <f t="shared" si="11"/>
        <v>1.2276378007248496</v>
      </c>
      <c r="G69" s="1">
        <f t="shared" si="12"/>
        <v>459.3865269709176</v>
      </c>
      <c r="H69" s="1">
        <v>4.5302442590162598E+17</v>
      </c>
      <c r="I69" s="1">
        <f t="shared" si="13"/>
        <v>174.52950317033748</v>
      </c>
      <c r="J69">
        <v>1.0111831745030867E+18</v>
      </c>
      <c r="K69">
        <v>694.5</v>
      </c>
      <c r="L69">
        <v>1.0111831745030867E+18</v>
      </c>
      <c r="M69">
        <v>715.3</v>
      </c>
      <c r="N69" s="2">
        <f t="shared" si="14"/>
        <v>500.9245487254579</v>
      </c>
      <c r="O69" s="10">
        <v>39.4</v>
      </c>
      <c r="P69" s="8">
        <v>56.3</v>
      </c>
      <c r="Q69" s="8">
        <f>2.032*10^(18)</f>
        <v>2.032E+18</v>
      </c>
      <c r="R69" s="19">
        <v>40</v>
      </c>
      <c r="S69">
        <v>61.4</v>
      </c>
      <c r="T69">
        <f>1.992*10^(18)</f>
        <v>1.992E+18</v>
      </c>
      <c r="U69" s="10">
        <v>55.2</v>
      </c>
      <c r="V69" s="8">
        <v>313.89999999999998</v>
      </c>
      <c r="W69" s="8">
        <f>9.908*10^(17)</f>
        <v>9.908E+17</v>
      </c>
      <c r="X69" s="19">
        <v>69.3</v>
      </c>
      <c r="Y69" s="21">
        <v>249.9</v>
      </c>
      <c r="Z69" s="6">
        <f>5.867*10^(17)</f>
        <v>5.867E+17</v>
      </c>
    </row>
    <row r="70" spans="1:26" x14ac:dyDescent="0.2">
      <c r="A70" t="s">
        <v>28</v>
      </c>
      <c r="B70">
        <v>700</v>
      </c>
      <c r="C70">
        <v>1.3524670738151473E+18</v>
      </c>
      <c r="D70" s="1">
        <f t="shared" si="10"/>
        <v>534.5187040318915</v>
      </c>
      <c r="E70" s="1">
        <v>3670201691613851</v>
      </c>
      <c r="F70" s="1">
        <f t="shared" si="11"/>
        <v>1.4322441008456577</v>
      </c>
      <c r="G70" s="1">
        <f t="shared" si="12"/>
        <v>535.95094813273715</v>
      </c>
      <c r="H70" s="1">
        <v>5.2852849688522957E+17</v>
      </c>
      <c r="I70" s="1">
        <f t="shared" si="13"/>
        <v>203.61775369872677</v>
      </c>
      <c r="J70">
        <v>1.1797137035869358E+18</v>
      </c>
      <c r="K70">
        <v>696.5</v>
      </c>
      <c r="L70">
        <v>1.1797137035869358E+18</v>
      </c>
      <c r="M70">
        <v>717.5</v>
      </c>
      <c r="N70" s="2">
        <f t="shared" si="14"/>
        <v>584.41197351303413</v>
      </c>
      <c r="O70" s="10">
        <v>34.4</v>
      </c>
      <c r="P70" s="8">
        <v>47.8</v>
      </c>
      <c r="Q70" s="8">
        <f>2.37*10^(18)</f>
        <v>2.37E+18</v>
      </c>
      <c r="R70" s="19">
        <v>35.1</v>
      </c>
      <c r="S70">
        <v>48.9</v>
      </c>
      <c r="T70">
        <f>2.324*10^(18)</f>
        <v>2.324E+18</v>
      </c>
      <c r="U70" s="10">
        <v>52.2</v>
      </c>
      <c r="V70" s="8">
        <v>286.89999999999998</v>
      </c>
      <c r="W70" s="8">
        <f>1.156*10^(18)</f>
        <v>1.156E+18</v>
      </c>
      <c r="X70" s="19">
        <v>67.7</v>
      </c>
      <c r="Y70" s="21">
        <v>248.4</v>
      </c>
      <c r="Z70" s="6">
        <f>6.845*10^(17)</f>
        <v>6.845E+17</v>
      </c>
    </row>
    <row r="71" spans="1:26" x14ac:dyDescent="0.2">
      <c r="A71" t="s">
        <v>28</v>
      </c>
      <c r="B71">
        <v>800</v>
      </c>
      <c r="C71">
        <v>1.5456766557887396E+18</v>
      </c>
      <c r="D71" s="1">
        <f t="shared" si="10"/>
        <v>610.87851889359024</v>
      </c>
      <c r="E71" s="1">
        <v>4194516218987258</v>
      </c>
      <c r="F71" s="1">
        <f t="shared" si="11"/>
        <v>1.6368504009664659</v>
      </c>
      <c r="G71" s="1">
        <f t="shared" si="12"/>
        <v>612.51536929455665</v>
      </c>
      <c r="H71" s="1">
        <v>6.040325678688343E+17</v>
      </c>
      <c r="I71" s="1">
        <f t="shared" si="13"/>
        <v>232.70600422711652</v>
      </c>
      <c r="J71">
        <v>1.3482442326707822E+18</v>
      </c>
      <c r="K71">
        <v>698.2</v>
      </c>
      <c r="L71">
        <v>1.3482442326707822E+18</v>
      </c>
      <c r="M71">
        <v>719.3</v>
      </c>
      <c r="N71" s="2">
        <f t="shared" si="14"/>
        <v>667.89939830061041</v>
      </c>
      <c r="O71" s="10">
        <v>29.4</v>
      </c>
      <c r="P71" s="8">
        <v>42.4</v>
      </c>
      <c r="Q71" s="8">
        <f>2.709*10^(18)</f>
        <v>2.709E+18</v>
      </c>
      <c r="R71" s="19">
        <v>30.2</v>
      </c>
      <c r="S71">
        <v>43.5</v>
      </c>
      <c r="T71">
        <f>2.657*10^(18)</f>
        <v>2.657E+18</v>
      </c>
      <c r="U71" s="10">
        <v>50.4</v>
      </c>
      <c r="V71" s="8">
        <v>252.2</v>
      </c>
      <c r="W71" s="8">
        <f>1.321*10^(18)</f>
        <v>1.321E+18</v>
      </c>
      <c r="X71" s="19">
        <v>64.7</v>
      </c>
      <c r="Y71" s="21">
        <v>245.2</v>
      </c>
      <c r="Z71" s="6">
        <f>7.823*10^(17)</f>
        <v>7.823E+17</v>
      </c>
    </row>
    <row r="72" spans="1:26" x14ac:dyDescent="0.2">
      <c r="A72" t="s">
        <v>28</v>
      </c>
      <c r="B72">
        <v>900</v>
      </c>
      <c r="C72">
        <v>1.7388862377623322E+18</v>
      </c>
      <c r="D72" s="1">
        <f t="shared" si="10"/>
        <v>687.23833375528909</v>
      </c>
      <c r="E72" s="1">
        <v>4718830746360665</v>
      </c>
      <c r="F72" s="1">
        <f t="shared" si="11"/>
        <v>1.8414567010872738</v>
      </c>
      <c r="G72" s="1">
        <f t="shared" si="12"/>
        <v>689.07979045637637</v>
      </c>
      <c r="H72" s="1">
        <v>6.7953663885243789E+17</v>
      </c>
      <c r="I72" s="1">
        <f t="shared" si="13"/>
        <v>261.79425475550585</v>
      </c>
      <c r="J72">
        <v>1.5167747617546222E+18</v>
      </c>
      <c r="K72">
        <v>699.7</v>
      </c>
      <c r="L72">
        <v>1.5167747617546222E+18</v>
      </c>
      <c r="M72">
        <v>721</v>
      </c>
      <c r="N72" s="2">
        <f t="shared" si="14"/>
        <v>751.3868230881867</v>
      </c>
      <c r="O72" s="10">
        <v>24.6</v>
      </c>
      <c r="P72" s="8">
        <v>37.1</v>
      </c>
      <c r="Q72" s="8">
        <f>3.048*10^(18)</f>
        <v>3.048E+18</v>
      </c>
      <c r="R72" s="19">
        <v>25.3</v>
      </c>
      <c r="S72">
        <v>38.1</v>
      </c>
      <c r="T72">
        <f>2.989*10^(18)</f>
        <v>2.989E+18</v>
      </c>
      <c r="U72" s="10">
        <v>47.8</v>
      </c>
      <c r="V72" s="8">
        <v>210</v>
      </c>
      <c r="W72" s="8">
        <f>1.486*10^(18)</f>
        <v>1.486E+18</v>
      </c>
      <c r="X72" s="19">
        <v>61</v>
      </c>
      <c r="Y72" s="21">
        <v>240.3</v>
      </c>
      <c r="Z72" s="6">
        <f>8.801*10^(17)</f>
        <v>8.801E+17</v>
      </c>
    </row>
    <row r="73" spans="1:26" s="3" customFormat="1" x14ac:dyDescent="0.2">
      <c r="A73" s="3" t="s">
        <v>28</v>
      </c>
      <c r="B73" s="3">
        <v>1000</v>
      </c>
      <c r="C73" s="3">
        <v>1.9320958197359247E+18</v>
      </c>
      <c r="D73" s="4">
        <f t="shared" si="10"/>
        <v>763.59814861698794</v>
      </c>
      <c r="E73" s="4">
        <v>5243145273734073</v>
      </c>
      <c r="F73" s="4">
        <f t="shared" si="11"/>
        <v>2.0460630012080827</v>
      </c>
      <c r="G73" s="4">
        <f t="shared" si="12"/>
        <v>765.64421161819598</v>
      </c>
      <c r="H73" s="4">
        <v>7.550407098360425E+17</v>
      </c>
      <c r="I73" s="4">
        <f t="shared" si="13"/>
        <v>290.88250528389551</v>
      </c>
      <c r="J73" s="3">
        <v>1.6853052908384719E+18</v>
      </c>
      <c r="K73" s="3">
        <v>701.1</v>
      </c>
      <c r="L73" s="3">
        <v>1.6853052908384719E+18</v>
      </c>
      <c r="M73" s="3">
        <v>722.5</v>
      </c>
      <c r="N73" s="5">
        <f t="shared" si="14"/>
        <v>834.8742478757631</v>
      </c>
      <c r="O73" s="11">
        <v>20</v>
      </c>
      <c r="P73" s="9">
        <v>31.8</v>
      </c>
      <c r="Q73" s="9">
        <f>3.386*10^(18)</f>
        <v>3.386E+18</v>
      </c>
      <c r="R73" s="20">
        <v>20.6</v>
      </c>
      <c r="S73" s="3">
        <v>32.799999999999997</v>
      </c>
      <c r="T73" s="3">
        <f>3.321*10^(18)</f>
        <v>3.321E+18</v>
      </c>
      <c r="U73" s="11">
        <v>45.8</v>
      </c>
      <c r="V73" s="9">
        <v>162.30000000000001</v>
      </c>
      <c r="W73" s="9">
        <f>1.651*10^(18)</f>
        <v>1.651E+18</v>
      </c>
      <c r="X73" s="20">
        <v>57.6</v>
      </c>
      <c r="Y73" s="3">
        <v>234.1</v>
      </c>
      <c r="Z73" s="7">
        <f>9.779*10^(17)</f>
        <v>9.779E+17</v>
      </c>
    </row>
    <row r="74" spans="1:26" x14ac:dyDescent="0.2">
      <c r="A74" t="s">
        <v>29</v>
      </c>
      <c r="B74">
        <v>10</v>
      </c>
      <c r="C74">
        <v>1.9320958197359248E+16</v>
      </c>
      <c r="D74" s="1">
        <f t="shared" si="10"/>
        <v>7.6359814861698787</v>
      </c>
      <c r="E74" s="1">
        <v>52431452737340.703</v>
      </c>
      <c r="F74" s="1">
        <f t="shared" si="11"/>
        <v>2.0460630012080813E-2</v>
      </c>
      <c r="G74" s="1">
        <f t="shared" si="12"/>
        <v>7.6564421161819594</v>
      </c>
      <c r="H74" s="1">
        <v>7550407098360421</v>
      </c>
      <c r="I74" s="1">
        <f t="shared" si="13"/>
        <v>2.9088250528389534</v>
      </c>
      <c r="J74">
        <v>1.2092263457515756E+16</v>
      </c>
      <c r="K74">
        <v>784.6</v>
      </c>
      <c r="L74">
        <v>1.2092263457515756E+16</v>
      </c>
      <c r="M74">
        <v>797.6</v>
      </c>
      <c r="N74" s="2">
        <f t="shared" si="14"/>
        <v>8.3487424787576305</v>
      </c>
      <c r="O74" s="10">
        <v>34.799999999999997</v>
      </c>
      <c r="P74" s="8">
        <v>48</v>
      </c>
      <c r="Q74" s="8">
        <f>1.787*10^(16)</f>
        <v>1.787E+16</v>
      </c>
      <c r="R74" s="19">
        <v>34.799999999999997</v>
      </c>
      <c r="S74">
        <v>48</v>
      </c>
      <c r="T74">
        <f>1.787*10^(16)</f>
        <v>1.787E+16</v>
      </c>
      <c r="U74" s="10">
        <v>31.9</v>
      </c>
      <c r="V74" s="8">
        <v>44.8</v>
      </c>
      <c r="W74" s="8">
        <f>1.287*10^(16)</f>
        <v>1.287E+16</v>
      </c>
      <c r="X74" s="19">
        <v>30</v>
      </c>
      <c r="Y74" s="21">
        <v>42.5</v>
      </c>
      <c r="Z74" s="6">
        <f>1.022*10^(16)</f>
        <v>1.022E+16</v>
      </c>
    </row>
    <row r="75" spans="1:26" x14ac:dyDescent="0.2">
      <c r="A75" t="s">
        <v>29</v>
      </c>
      <c r="B75">
        <v>50</v>
      </c>
      <c r="C75">
        <v>9.6604790986796224E+16</v>
      </c>
      <c r="D75" s="1">
        <f t="shared" si="10"/>
        <v>38.17990743084939</v>
      </c>
      <c r="E75" s="1">
        <v>262157263686704</v>
      </c>
      <c r="F75" s="1">
        <f t="shared" si="11"/>
        <v>0.10230315006040426</v>
      </c>
      <c r="G75" s="1">
        <f t="shared" si="12"/>
        <v>38.282210580909798</v>
      </c>
      <c r="H75" s="1">
        <v>3.7752035491802144E+16</v>
      </c>
      <c r="I75" s="1">
        <f t="shared" si="13"/>
        <v>14.544125264194783</v>
      </c>
      <c r="J75">
        <v>6.046131728757888E+16</v>
      </c>
      <c r="K75">
        <v>798.5</v>
      </c>
      <c r="L75">
        <v>6.046131728757888E+16</v>
      </c>
      <c r="M75">
        <v>812.5</v>
      </c>
      <c r="N75" s="2">
        <f t="shared" si="14"/>
        <v>41.743712393788158</v>
      </c>
      <c r="O75" s="10">
        <v>47.9</v>
      </c>
      <c r="P75" s="8">
        <v>81.400000000000006</v>
      </c>
      <c r="Q75" s="8">
        <f>8.935*10^(16)</f>
        <v>8.935E+16</v>
      </c>
      <c r="R75" s="19">
        <v>47.9</v>
      </c>
      <c r="S75">
        <v>81.400000000000006</v>
      </c>
      <c r="T75">
        <f>8.935*10^(16)</f>
        <v>8.935E+16</v>
      </c>
      <c r="U75" s="10">
        <v>45.1</v>
      </c>
      <c r="V75" s="8">
        <v>68.3</v>
      </c>
      <c r="W75" s="8">
        <f>6.434*10^(16)</f>
        <v>6.434E+16</v>
      </c>
      <c r="X75" s="19">
        <v>43</v>
      </c>
      <c r="Y75" s="21">
        <v>60.1</v>
      </c>
      <c r="Z75" s="6">
        <f>5.11*10^(16)</f>
        <v>5.11E+16</v>
      </c>
    </row>
    <row r="76" spans="1:26" x14ac:dyDescent="0.2">
      <c r="A76" t="s">
        <v>29</v>
      </c>
      <c r="B76">
        <v>100</v>
      </c>
      <c r="C76">
        <v>1.9320958197359245E+17</v>
      </c>
      <c r="D76" s="1">
        <f t="shared" si="10"/>
        <v>76.35981486169878</v>
      </c>
      <c r="E76" s="1">
        <v>524314527373407</v>
      </c>
      <c r="F76" s="1">
        <f t="shared" si="11"/>
        <v>0.20460630012080813</v>
      </c>
      <c r="G76" s="1">
        <f t="shared" si="12"/>
        <v>76.564421161819581</v>
      </c>
      <c r="H76" s="1">
        <v>7.5504070983604288E+16</v>
      </c>
      <c r="I76" s="1">
        <f t="shared" si="13"/>
        <v>29.088250528389565</v>
      </c>
      <c r="J76">
        <v>1.2092263457515776E+17</v>
      </c>
      <c r="K76">
        <v>804.8</v>
      </c>
      <c r="L76">
        <v>1.2092263457515776E+17</v>
      </c>
      <c r="M76">
        <v>819.3</v>
      </c>
      <c r="N76" s="2">
        <f t="shared" si="14"/>
        <v>83.487424787576302</v>
      </c>
      <c r="O76" s="10">
        <v>53</v>
      </c>
      <c r="P76" s="8">
        <v>101.3</v>
      </c>
      <c r="Q76" s="8">
        <f>1.787*10^(17)</f>
        <v>1.787E+17</v>
      </c>
      <c r="R76" s="19">
        <v>53</v>
      </c>
      <c r="S76">
        <v>101.3</v>
      </c>
      <c r="T76">
        <f>1.787*10^(17)</f>
        <v>1.787E+17</v>
      </c>
      <c r="U76" s="10">
        <v>50.5</v>
      </c>
      <c r="V76" s="8">
        <v>91.5</v>
      </c>
      <c r="W76" s="8">
        <f>1.287*10^(17)</f>
        <v>1.287E+17</v>
      </c>
      <c r="X76" s="19">
        <v>48.5</v>
      </c>
      <c r="Y76" s="21">
        <v>82.6</v>
      </c>
      <c r="Z76" s="6">
        <f>1.022*10^(17)</f>
        <v>1.022E+17</v>
      </c>
    </row>
    <row r="77" spans="1:26" x14ac:dyDescent="0.2">
      <c r="A77" t="s">
        <v>29</v>
      </c>
      <c r="B77">
        <v>200</v>
      </c>
      <c r="C77">
        <v>3.864191639471849E+17</v>
      </c>
      <c r="D77" s="1">
        <f t="shared" si="10"/>
        <v>152.71962972339756</v>
      </c>
      <c r="E77" s="1">
        <v>1048629054746814</v>
      </c>
      <c r="F77" s="1">
        <f t="shared" si="11"/>
        <v>0.40921260024161626</v>
      </c>
      <c r="G77" s="1">
        <f t="shared" si="12"/>
        <v>153.12884232363916</v>
      </c>
      <c r="H77" s="1">
        <v>1.5100814196720858E+17</v>
      </c>
      <c r="I77" s="1">
        <f t="shared" si="13"/>
        <v>58.176501056779131</v>
      </c>
      <c r="J77">
        <v>2.4184526915031552E+17</v>
      </c>
      <c r="K77">
        <v>811.2</v>
      </c>
      <c r="L77">
        <v>2.4184526915031552E+17</v>
      </c>
      <c r="M77">
        <v>826.2</v>
      </c>
      <c r="N77" s="2">
        <f t="shared" si="14"/>
        <v>166.9748495751526</v>
      </c>
      <c r="O77" s="10">
        <v>58.5</v>
      </c>
      <c r="P77" s="8">
        <v>112</v>
      </c>
      <c r="Q77" s="8">
        <f>3.574*10^(17)</f>
        <v>3.574E+17</v>
      </c>
      <c r="R77" s="19">
        <v>58.5</v>
      </c>
      <c r="S77">
        <v>112</v>
      </c>
      <c r="T77">
        <f>3.574*10^(17)</f>
        <v>3.574E+17</v>
      </c>
      <c r="U77" s="10">
        <v>55.4</v>
      </c>
      <c r="V77" s="8">
        <v>107.3</v>
      </c>
      <c r="W77" s="8">
        <f>2.574*10^(17)</f>
        <v>2.574E+17</v>
      </c>
      <c r="X77" s="19">
        <v>53.4</v>
      </c>
      <c r="Y77" s="21">
        <v>102</v>
      </c>
      <c r="Z77" s="6">
        <f>2.044*10^(17)</f>
        <v>2.044E+17</v>
      </c>
    </row>
    <row r="78" spans="1:26" x14ac:dyDescent="0.2">
      <c r="A78" t="s">
        <v>29</v>
      </c>
      <c r="B78">
        <v>300</v>
      </c>
      <c r="C78">
        <v>5.7962874592077747E+17</v>
      </c>
      <c r="D78" s="1">
        <f t="shared" si="10"/>
        <v>229.07944458509638</v>
      </c>
      <c r="E78" s="1">
        <v>1572943582120222</v>
      </c>
      <c r="F78" s="1">
        <f t="shared" si="11"/>
        <v>0.61381890036242481</v>
      </c>
      <c r="G78" s="1">
        <f t="shared" si="12"/>
        <v>229.6932634854588</v>
      </c>
      <c r="H78" s="1">
        <v>2.2651221295081299E+17</v>
      </c>
      <c r="I78" s="1">
        <f t="shared" si="13"/>
        <v>87.264751585168739</v>
      </c>
      <c r="J78">
        <v>3.6276790372547264E+17</v>
      </c>
      <c r="K78">
        <v>815.1</v>
      </c>
      <c r="L78">
        <v>3.6276790372547264E+17</v>
      </c>
      <c r="M78">
        <v>830.4</v>
      </c>
      <c r="N78" s="2">
        <f t="shared" si="14"/>
        <v>250.46227436272895</v>
      </c>
      <c r="O78" s="10">
        <v>60</v>
      </c>
      <c r="P78" s="8">
        <v>113.6</v>
      </c>
      <c r="Q78" s="8">
        <f>5.361*10^(17)</f>
        <v>5.361E+17</v>
      </c>
      <c r="R78" s="19">
        <v>60</v>
      </c>
      <c r="S78">
        <v>113.6</v>
      </c>
      <c r="T78">
        <f>5.361*10^(17)</f>
        <v>5.361E+17</v>
      </c>
      <c r="U78" s="10">
        <v>58.8</v>
      </c>
      <c r="V78" s="8">
        <v>112.1</v>
      </c>
      <c r="W78" s="8">
        <f>3.861*10^(17)</f>
        <v>3.861E+17</v>
      </c>
      <c r="X78" s="19">
        <v>56.5</v>
      </c>
      <c r="Y78" s="21">
        <v>109</v>
      </c>
      <c r="Z78" s="6">
        <f>3.066*10^(17)</f>
        <v>3.066E+17</v>
      </c>
    </row>
    <row r="79" spans="1:26" x14ac:dyDescent="0.2">
      <c r="A79" t="s">
        <v>29</v>
      </c>
      <c r="B79">
        <v>400</v>
      </c>
      <c r="C79">
        <v>7.7283832789436979E+17</v>
      </c>
      <c r="D79" s="1">
        <f t="shared" si="10"/>
        <v>305.43925944679512</v>
      </c>
      <c r="E79" s="1">
        <v>2097258109493629</v>
      </c>
      <c r="F79" s="1">
        <f t="shared" si="11"/>
        <v>0.81842520048323297</v>
      </c>
      <c r="G79" s="1">
        <f t="shared" si="12"/>
        <v>306.25768464727832</v>
      </c>
      <c r="H79" s="1">
        <v>3.0201628393441715E+17</v>
      </c>
      <c r="I79" s="1">
        <f t="shared" si="13"/>
        <v>116.35300211355826</v>
      </c>
      <c r="J79">
        <v>4.8369053830063104E+17</v>
      </c>
      <c r="K79">
        <v>817.9</v>
      </c>
      <c r="L79">
        <v>4.8369053830063104E+17</v>
      </c>
      <c r="M79">
        <v>833.4</v>
      </c>
      <c r="N79" s="2">
        <f t="shared" si="14"/>
        <v>333.94969915030521</v>
      </c>
      <c r="O79" s="10">
        <v>58.3</v>
      </c>
      <c r="P79" s="8">
        <v>112.1</v>
      </c>
      <c r="Q79" s="8">
        <f>7.148*10^(17)</f>
        <v>7.148E+17</v>
      </c>
      <c r="R79" s="19">
        <v>58.3</v>
      </c>
      <c r="S79">
        <v>112.1</v>
      </c>
      <c r="T79">
        <f>7.148*10^(17)</f>
        <v>7.148E+17</v>
      </c>
      <c r="U79" s="10">
        <v>60</v>
      </c>
      <c r="V79" s="8">
        <v>113.5</v>
      </c>
      <c r="W79" s="8">
        <f>5.148*10^(17)</f>
        <v>5.148E+17</v>
      </c>
      <c r="X79" s="19">
        <v>58.8</v>
      </c>
      <c r="Y79" s="21">
        <v>112.1</v>
      </c>
      <c r="Z79" s="6">
        <f>4.088*10^(17)</f>
        <v>4.088E+17</v>
      </c>
    </row>
    <row r="80" spans="1:26" x14ac:dyDescent="0.2">
      <c r="A80" t="s">
        <v>29</v>
      </c>
      <c r="B80">
        <v>500</v>
      </c>
      <c r="C80">
        <v>9.6604790986796237E+17</v>
      </c>
      <c r="D80" s="1">
        <f t="shared" si="10"/>
        <v>381.79907430849397</v>
      </c>
      <c r="E80" s="1">
        <v>2621572636867036</v>
      </c>
      <c r="F80" s="1">
        <f t="shared" si="11"/>
        <v>1.0230315006040411</v>
      </c>
      <c r="G80" s="1">
        <f t="shared" si="12"/>
        <v>382.82210580909799</v>
      </c>
      <c r="H80" s="1">
        <v>3.7752035491802125E+17</v>
      </c>
      <c r="I80" s="1">
        <f t="shared" si="13"/>
        <v>145.44125264194776</v>
      </c>
      <c r="J80">
        <v>6.0461317287578701E+17</v>
      </c>
      <c r="K80">
        <v>820.1</v>
      </c>
      <c r="L80">
        <v>6.0461317287578701E+17</v>
      </c>
      <c r="M80">
        <v>835.7</v>
      </c>
      <c r="N80" s="2">
        <f t="shared" si="14"/>
        <v>417.43712393788155</v>
      </c>
      <c r="O80" s="10">
        <v>55.6</v>
      </c>
      <c r="P80" s="8">
        <v>108.7</v>
      </c>
      <c r="Q80" s="8">
        <f>8.935*10^(17)</f>
        <v>8.935E+17</v>
      </c>
      <c r="R80" s="19">
        <v>55.6</v>
      </c>
      <c r="S80">
        <v>108.7</v>
      </c>
      <c r="T80">
        <f>8.935*10^(17)</f>
        <v>8.935E+17</v>
      </c>
      <c r="U80" s="10">
        <v>59.5</v>
      </c>
      <c r="V80" s="8">
        <v>113.3</v>
      </c>
      <c r="W80" s="8">
        <f>6.435*10^(17)</f>
        <v>6.435E+17</v>
      </c>
      <c r="X80" s="19">
        <v>59.9</v>
      </c>
      <c r="Y80" s="21">
        <v>113.3</v>
      </c>
      <c r="Z80" s="6">
        <f>5.111*10^(17)</f>
        <v>5.111E+17</v>
      </c>
    </row>
    <row r="81" spans="1:26" x14ac:dyDescent="0.2">
      <c r="A81" t="s">
        <v>29</v>
      </c>
      <c r="B81">
        <v>600</v>
      </c>
      <c r="C81">
        <v>1.1592574918415549E+18</v>
      </c>
      <c r="D81" s="1">
        <f t="shared" si="10"/>
        <v>458.15888917019277</v>
      </c>
      <c r="E81" s="1">
        <v>3145887164240444</v>
      </c>
      <c r="F81" s="1">
        <f t="shared" si="11"/>
        <v>1.2276378007248496</v>
      </c>
      <c r="G81" s="1">
        <f t="shared" si="12"/>
        <v>459.3865269709176</v>
      </c>
      <c r="H81" s="1">
        <v>4.5302442590162598E+17</v>
      </c>
      <c r="I81" s="1">
        <f t="shared" si="13"/>
        <v>174.52950317033748</v>
      </c>
      <c r="J81">
        <v>7.2553580745094528E+17</v>
      </c>
      <c r="K81">
        <v>821.8</v>
      </c>
      <c r="L81">
        <v>7.2553580745094528E+17</v>
      </c>
      <c r="M81">
        <v>837.7</v>
      </c>
      <c r="N81" s="2">
        <f t="shared" si="14"/>
        <v>500.9245487254579</v>
      </c>
      <c r="O81" s="10">
        <v>53.1</v>
      </c>
      <c r="P81" s="8">
        <v>103.5</v>
      </c>
      <c r="Q81" s="8">
        <f>1.072*10^(18)</f>
        <v>1.072E+18</v>
      </c>
      <c r="R81" s="19">
        <v>53.1</v>
      </c>
      <c r="S81">
        <v>103.5</v>
      </c>
      <c r="T81">
        <f>1.072*10^(18)</f>
        <v>1.072E+18</v>
      </c>
      <c r="U81" s="10">
        <v>58</v>
      </c>
      <c r="V81" s="8">
        <v>111.9</v>
      </c>
      <c r="W81" s="8">
        <f>7.722*10^(17)</f>
        <v>7.722E+17</v>
      </c>
      <c r="X81" s="19">
        <v>59.9</v>
      </c>
      <c r="Y81" s="21">
        <v>113.5</v>
      </c>
      <c r="Z81" s="6">
        <f>6.133*10^(17)</f>
        <v>6.133E+17</v>
      </c>
    </row>
    <row r="82" spans="1:26" x14ac:dyDescent="0.2">
      <c r="A82" t="s">
        <v>29</v>
      </c>
      <c r="B82">
        <v>700</v>
      </c>
      <c r="C82">
        <v>1.3524670738151473E+18</v>
      </c>
      <c r="D82" s="1">
        <f t="shared" si="10"/>
        <v>534.5187040318915</v>
      </c>
      <c r="E82" s="1">
        <v>3670201691613851</v>
      </c>
      <c r="F82" s="1">
        <f t="shared" si="11"/>
        <v>1.4322441008456577</v>
      </c>
      <c r="G82" s="1">
        <f t="shared" si="12"/>
        <v>535.95094813273715</v>
      </c>
      <c r="H82" s="1">
        <v>5.2852849688522957E+17</v>
      </c>
      <c r="I82" s="1">
        <f t="shared" si="13"/>
        <v>203.61775369872677</v>
      </c>
      <c r="J82">
        <v>8.4645844202609574E+17</v>
      </c>
      <c r="K82">
        <v>823.3</v>
      </c>
      <c r="L82">
        <v>8.4645844202609574E+17</v>
      </c>
      <c r="M82">
        <v>839.3</v>
      </c>
      <c r="N82" s="2">
        <f t="shared" si="14"/>
        <v>584.41197351303413</v>
      </c>
      <c r="O82" s="10">
        <v>51.1</v>
      </c>
      <c r="P82" s="8">
        <v>96.8</v>
      </c>
      <c r="Q82" s="8">
        <f>1.251*10^(18)</f>
        <v>1.251E+18</v>
      </c>
      <c r="R82" s="19">
        <v>51.1</v>
      </c>
      <c r="S82">
        <v>96.8</v>
      </c>
      <c r="T82">
        <f>1.251*10^(18)</f>
        <v>1.251E+18</v>
      </c>
      <c r="U82" s="10">
        <v>56</v>
      </c>
      <c r="V82" s="8">
        <v>109.6</v>
      </c>
      <c r="W82" s="8">
        <f>9.009*10^(17)</f>
        <v>9.009E+17</v>
      </c>
      <c r="X82" s="19">
        <v>59.1</v>
      </c>
      <c r="Y82" s="21">
        <v>112.9</v>
      </c>
      <c r="Z82" s="6">
        <f>7.155*10^(17)</f>
        <v>7.155E+17</v>
      </c>
    </row>
    <row r="83" spans="1:26" x14ac:dyDescent="0.2">
      <c r="A83" t="s">
        <v>29</v>
      </c>
      <c r="B83">
        <v>800</v>
      </c>
      <c r="C83">
        <v>1.5456766557887396E+18</v>
      </c>
      <c r="D83" s="1">
        <f t="shared" si="10"/>
        <v>610.87851889359024</v>
      </c>
      <c r="E83" s="1">
        <v>4194516218987258</v>
      </c>
      <c r="F83" s="1">
        <f t="shared" si="11"/>
        <v>1.6368504009664659</v>
      </c>
      <c r="G83" s="1">
        <f t="shared" si="12"/>
        <v>612.51536929455665</v>
      </c>
      <c r="H83" s="1">
        <v>6.040325678688343E+17</v>
      </c>
      <c r="I83" s="1">
        <f t="shared" si="13"/>
        <v>232.70600422711652</v>
      </c>
      <c r="J83">
        <v>9.6738107660126208E+17</v>
      </c>
      <c r="K83">
        <v>824.7</v>
      </c>
      <c r="L83">
        <v>9.6738107660126208E+17</v>
      </c>
      <c r="M83">
        <v>840.7</v>
      </c>
      <c r="N83" s="2">
        <f t="shared" si="14"/>
        <v>667.89939830061041</v>
      </c>
      <c r="O83" s="10">
        <v>48.7</v>
      </c>
      <c r="P83" s="8">
        <v>88.4</v>
      </c>
      <c r="Q83" s="8">
        <f>1.43*10^(18)</f>
        <v>1.43E+18</v>
      </c>
      <c r="R83" s="19">
        <v>48.7</v>
      </c>
      <c r="S83">
        <v>88.4</v>
      </c>
      <c r="T83">
        <f>1.43*10^(18)</f>
        <v>1.43E+18</v>
      </c>
      <c r="U83" s="10">
        <v>54.2</v>
      </c>
      <c r="V83" s="8">
        <v>106.5</v>
      </c>
      <c r="W83" s="8">
        <f>1.03*10^(18)</f>
        <v>1.03E+18</v>
      </c>
      <c r="X83" s="19">
        <v>57.8</v>
      </c>
      <c r="Y83" s="21">
        <v>111.8</v>
      </c>
      <c r="Z83" s="6">
        <f>8.177*10^(17)</f>
        <v>8.177E+17</v>
      </c>
    </row>
    <row r="84" spans="1:26" x14ac:dyDescent="0.2">
      <c r="A84" t="s">
        <v>29</v>
      </c>
      <c r="B84">
        <v>900</v>
      </c>
      <c r="C84">
        <v>1.7388862377623322E+18</v>
      </c>
      <c r="D84" s="1">
        <f t="shared" si="10"/>
        <v>687.23833375528909</v>
      </c>
      <c r="E84" s="1">
        <v>4718830746360665</v>
      </c>
      <c r="F84" s="1">
        <f t="shared" si="11"/>
        <v>1.8414567010872738</v>
      </c>
      <c r="G84" s="1">
        <f t="shared" si="12"/>
        <v>689.07979045637637</v>
      </c>
      <c r="H84" s="1">
        <v>6.7953663885243789E+17</v>
      </c>
      <c r="I84" s="1">
        <f t="shared" si="13"/>
        <v>261.79425475550585</v>
      </c>
      <c r="J84">
        <v>1.0883037111764182E+18</v>
      </c>
      <c r="K84">
        <v>825.8</v>
      </c>
      <c r="L84">
        <v>1.0883037111764182E+18</v>
      </c>
      <c r="M84">
        <v>842</v>
      </c>
      <c r="N84" s="2">
        <f t="shared" si="14"/>
        <v>751.3868230881867</v>
      </c>
      <c r="O84" s="10">
        <v>46.3</v>
      </c>
      <c r="P84" s="8">
        <v>78.8</v>
      </c>
      <c r="Q84" s="8">
        <f>1.608*10^(18)</f>
        <v>1.608E+18</v>
      </c>
      <c r="R84" s="19">
        <v>46.3</v>
      </c>
      <c r="S84">
        <v>78.8</v>
      </c>
      <c r="T84">
        <f>1.608*10^(18)</f>
        <v>1.608E+18</v>
      </c>
      <c r="U84" s="10">
        <v>52.6</v>
      </c>
      <c r="V84" s="8">
        <v>102.6</v>
      </c>
      <c r="W84" s="8">
        <f>1.158*10^(18)</f>
        <v>1.158E+18</v>
      </c>
      <c r="X84" s="19">
        <v>56.3</v>
      </c>
      <c r="Y84" s="21">
        <v>110.1</v>
      </c>
      <c r="Z84" s="6">
        <f>9.199*10^(17)</f>
        <v>9.199E+17</v>
      </c>
    </row>
    <row r="85" spans="1:26" s="3" customFormat="1" x14ac:dyDescent="0.2">
      <c r="A85" s="3" t="s">
        <v>29</v>
      </c>
      <c r="B85" s="3">
        <v>1000</v>
      </c>
      <c r="C85" s="3">
        <v>1.9320958197359247E+18</v>
      </c>
      <c r="D85" s="4">
        <f t="shared" si="10"/>
        <v>763.59814861698794</v>
      </c>
      <c r="E85" s="4">
        <v>5243145273734073</v>
      </c>
      <c r="F85" s="4">
        <f t="shared" si="11"/>
        <v>2.0460630012080827</v>
      </c>
      <c r="G85" s="4">
        <f t="shared" si="12"/>
        <v>765.64421161819598</v>
      </c>
      <c r="H85" s="4">
        <v>7.550407098360425E+17</v>
      </c>
      <c r="I85" s="4">
        <f t="shared" si="13"/>
        <v>290.88250528389551</v>
      </c>
      <c r="J85" s="3">
        <v>1.209226345751574E+18</v>
      </c>
      <c r="K85" s="3">
        <v>826.9</v>
      </c>
      <c r="L85" s="3">
        <v>1.209226345751574E+18</v>
      </c>
      <c r="M85" s="3">
        <v>843.1</v>
      </c>
      <c r="N85" s="5">
        <f t="shared" si="14"/>
        <v>834.8742478757631</v>
      </c>
      <c r="O85" s="11">
        <v>43.8</v>
      </c>
      <c r="P85" s="9">
        <v>68.7</v>
      </c>
      <c r="Q85" s="9">
        <f>1.787*10^(18)</f>
        <v>1.787E+18</v>
      </c>
      <c r="R85" s="20">
        <v>43.8</v>
      </c>
      <c r="S85" s="3">
        <v>68.7</v>
      </c>
      <c r="T85" s="3">
        <f>1.787*10^(18)</f>
        <v>1.787E+18</v>
      </c>
      <c r="U85" s="11">
        <v>51.1</v>
      </c>
      <c r="V85" s="9">
        <v>97.9</v>
      </c>
      <c r="W85" s="9">
        <f>1.287*10^(18)</f>
        <v>1.287E+18</v>
      </c>
      <c r="X85" s="20">
        <v>54.8</v>
      </c>
      <c r="Y85" s="3">
        <v>107.9</v>
      </c>
      <c r="Z85" s="7">
        <f>1.022*10^(18)</f>
        <v>1.022E+18</v>
      </c>
    </row>
    <row r="86" spans="1:26" x14ac:dyDescent="0.2">
      <c r="A86" t="s">
        <v>30</v>
      </c>
      <c r="B86">
        <v>10</v>
      </c>
      <c r="C86">
        <v>1.9320958197359248E+16</v>
      </c>
      <c r="D86" s="1">
        <f t="shared" si="10"/>
        <v>7.6359814861698787</v>
      </c>
      <c r="E86" s="1">
        <v>52431452737340.703</v>
      </c>
      <c r="F86" s="1">
        <f t="shared" si="11"/>
        <v>2.0460630012080813E-2</v>
      </c>
      <c r="G86" s="1">
        <f t="shared" si="12"/>
        <v>7.6564421161819594</v>
      </c>
      <c r="H86" s="1">
        <v>7550407098360421</v>
      </c>
      <c r="I86" s="1">
        <f t="shared" si="13"/>
        <v>2.9088250528389534</v>
      </c>
      <c r="J86">
        <v>2.1304811651616356E+16</v>
      </c>
      <c r="K86">
        <v>784.6</v>
      </c>
      <c r="L86">
        <v>2.1304811651616356E+16</v>
      </c>
      <c r="M86">
        <v>797.6</v>
      </c>
      <c r="N86" s="2">
        <f t="shared" si="14"/>
        <v>8.3487424787576305</v>
      </c>
      <c r="O86" s="10">
        <v>40.299999999999997</v>
      </c>
      <c r="P86" s="8">
        <v>60.4</v>
      </c>
      <c r="Q86" s="8">
        <f>3.384*10^(16)</f>
        <v>3.384E+16</v>
      </c>
      <c r="R86" s="19">
        <v>40.200000000000003</v>
      </c>
      <c r="S86">
        <v>57.2</v>
      </c>
      <c r="T86">
        <f>3.335*10^(16)</f>
        <v>3.335E+16</v>
      </c>
      <c r="U86" s="10">
        <v>36.5</v>
      </c>
      <c r="V86" s="8">
        <v>50.2</v>
      </c>
      <c r="W86" s="8">
        <f>2.194*10^(16)</f>
        <v>2.194E+16</v>
      </c>
      <c r="X86" s="19">
        <v>34.1</v>
      </c>
      <c r="Y86" s="21">
        <v>47.2</v>
      </c>
      <c r="Z86" s="6">
        <f>1.665*10^(16)</f>
        <v>1.665E+16</v>
      </c>
    </row>
    <row r="87" spans="1:26" x14ac:dyDescent="0.2">
      <c r="A87" t="s">
        <v>30</v>
      </c>
      <c r="B87">
        <v>50</v>
      </c>
      <c r="C87">
        <v>9.6604790986796224E+16</v>
      </c>
      <c r="D87" s="1">
        <f t="shared" si="10"/>
        <v>38.17990743084939</v>
      </c>
      <c r="E87" s="1">
        <v>262157263686704</v>
      </c>
      <c r="F87" s="1">
        <f t="shared" si="11"/>
        <v>0.10230315006040426</v>
      </c>
      <c r="G87" s="1">
        <f t="shared" si="12"/>
        <v>38.282210580909798</v>
      </c>
      <c r="H87" s="1">
        <v>3.7752035491802144E+16</v>
      </c>
      <c r="I87" s="1">
        <f t="shared" si="13"/>
        <v>14.544125264194783</v>
      </c>
      <c r="J87">
        <v>1.0652405825808112E+17</v>
      </c>
      <c r="K87">
        <v>798.5</v>
      </c>
      <c r="L87">
        <v>1.0652405825808112E+17</v>
      </c>
      <c r="M87">
        <v>812.5</v>
      </c>
      <c r="N87" s="2">
        <f t="shared" si="14"/>
        <v>41.743712393788158</v>
      </c>
      <c r="O87" s="10">
        <v>53</v>
      </c>
      <c r="P87" s="8">
        <v>630</v>
      </c>
      <c r="Q87" s="8">
        <f>1.692*10^(17)</f>
        <v>1.692E+17</v>
      </c>
      <c r="R87" s="19">
        <v>52.9</v>
      </c>
      <c r="S87">
        <v>423.9</v>
      </c>
      <c r="T87">
        <f>1.668*10^(17)</f>
        <v>1.668E+17</v>
      </c>
      <c r="U87" s="10">
        <v>49.6</v>
      </c>
      <c r="V87" s="8">
        <v>294.3</v>
      </c>
      <c r="W87" s="8">
        <f>1.097*10^(17)</f>
        <v>1.097E+17</v>
      </c>
      <c r="X87" s="19">
        <v>47.2</v>
      </c>
      <c r="Y87" s="21">
        <v>192.3</v>
      </c>
      <c r="Z87" s="6">
        <f>8.327*10^(16)</f>
        <v>8.327E+16</v>
      </c>
    </row>
    <row r="88" spans="1:26" x14ac:dyDescent="0.2">
      <c r="A88" t="s">
        <v>30</v>
      </c>
      <c r="B88">
        <v>100</v>
      </c>
      <c r="C88">
        <v>1.9320958197359245E+17</v>
      </c>
      <c r="D88" s="1">
        <f t="shared" si="10"/>
        <v>76.35981486169878</v>
      </c>
      <c r="E88" s="1">
        <v>524314527373407</v>
      </c>
      <c r="F88" s="1">
        <f t="shared" si="11"/>
        <v>0.20460630012080813</v>
      </c>
      <c r="G88" s="1">
        <f t="shared" si="12"/>
        <v>76.564421161819581</v>
      </c>
      <c r="H88" s="1">
        <v>7.5504070983604288E+16</v>
      </c>
      <c r="I88" s="1">
        <f t="shared" si="13"/>
        <v>29.088250528389565</v>
      </c>
      <c r="J88">
        <v>2.1304811651616224E+17</v>
      </c>
      <c r="K88">
        <v>804.8</v>
      </c>
      <c r="L88">
        <v>2.1304811651616224E+17</v>
      </c>
      <c r="M88">
        <v>819.3</v>
      </c>
      <c r="N88" s="2">
        <f t="shared" si="14"/>
        <v>83.487424787576302</v>
      </c>
      <c r="O88" s="10">
        <v>89.2</v>
      </c>
      <c r="P88" s="8">
        <v>756.1</v>
      </c>
      <c r="Q88" s="8">
        <f>3.385*10^(17)</f>
        <v>3.385E+17</v>
      </c>
      <c r="R88" s="19">
        <v>76</v>
      </c>
      <c r="S88">
        <v>553.5</v>
      </c>
      <c r="T88">
        <f>3.336*10^(17)</f>
        <v>3.336E+17</v>
      </c>
      <c r="U88" s="10">
        <v>56.4</v>
      </c>
      <c r="V88" s="8">
        <v>422.3</v>
      </c>
      <c r="W88" s="8">
        <f>2.195*10^(17)</f>
        <v>2.195E+17</v>
      </c>
      <c r="X88" s="19">
        <v>52.5</v>
      </c>
      <c r="Y88" s="21">
        <v>325.5</v>
      </c>
      <c r="Z88" s="6">
        <f>1.665*10^(17)</f>
        <v>1.665E+17</v>
      </c>
    </row>
    <row r="89" spans="1:26" x14ac:dyDescent="0.2">
      <c r="A89" t="s">
        <v>30</v>
      </c>
      <c r="B89">
        <v>200</v>
      </c>
      <c r="C89">
        <v>3.864191639471849E+17</v>
      </c>
      <c r="D89" s="1">
        <f t="shared" si="10"/>
        <v>152.71962972339756</v>
      </c>
      <c r="E89" s="1">
        <v>1048629054746814</v>
      </c>
      <c r="F89" s="1">
        <f t="shared" si="11"/>
        <v>0.40921260024161626</v>
      </c>
      <c r="G89" s="1">
        <f t="shared" si="12"/>
        <v>153.12884232363916</v>
      </c>
      <c r="H89" s="1">
        <v>1.5100814196720858E+17</v>
      </c>
      <c r="I89" s="1">
        <f t="shared" si="13"/>
        <v>58.176501056779131</v>
      </c>
      <c r="J89">
        <v>4.2609623303232448E+17</v>
      </c>
      <c r="K89">
        <v>811.2</v>
      </c>
      <c r="L89">
        <v>4.2609623303232448E+17</v>
      </c>
      <c r="M89">
        <v>826.2</v>
      </c>
      <c r="N89" s="2">
        <f t="shared" si="14"/>
        <v>166.9748495751526</v>
      </c>
      <c r="O89" s="10">
        <v>86.4</v>
      </c>
      <c r="P89" s="8">
        <v>754.3</v>
      </c>
      <c r="Q89" s="8">
        <f>6.77*10^(17)</f>
        <v>6.77E+17</v>
      </c>
      <c r="R89" s="19">
        <v>76.5</v>
      </c>
      <c r="S89">
        <v>622.79999999999995</v>
      </c>
      <c r="T89">
        <f>6.672*10^(17)</f>
        <v>6.672E+17</v>
      </c>
      <c r="U89" s="10">
        <v>82.6</v>
      </c>
      <c r="V89" s="8">
        <v>478</v>
      </c>
      <c r="W89" s="8">
        <f>4.389*10^(17)</f>
        <v>4.389E+17</v>
      </c>
      <c r="X89" s="19">
        <v>68.900000000000006</v>
      </c>
      <c r="Y89" s="21">
        <v>396.8</v>
      </c>
      <c r="Z89" s="6">
        <f>3.331*10^(17)</f>
        <v>3.331E+17</v>
      </c>
    </row>
    <row r="90" spans="1:26" x14ac:dyDescent="0.2">
      <c r="A90" t="s">
        <v>30</v>
      </c>
      <c r="B90">
        <v>300</v>
      </c>
      <c r="C90">
        <v>5.7962874592077747E+17</v>
      </c>
      <c r="D90" s="1">
        <f t="shared" si="10"/>
        <v>229.07944458509638</v>
      </c>
      <c r="E90" s="1">
        <v>1572943582120222</v>
      </c>
      <c r="F90" s="1">
        <f t="shared" si="11"/>
        <v>0.61381890036242481</v>
      </c>
      <c r="G90" s="1">
        <f t="shared" si="12"/>
        <v>229.6932634854588</v>
      </c>
      <c r="H90" s="1">
        <v>2.2651221295081299E+17</v>
      </c>
      <c r="I90" s="1">
        <f t="shared" si="13"/>
        <v>87.264751585168739</v>
      </c>
      <c r="J90">
        <v>6.3914434954849459E+17</v>
      </c>
      <c r="K90">
        <v>815.1</v>
      </c>
      <c r="L90">
        <v>6.3914434954849459E+17</v>
      </c>
      <c r="M90">
        <v>830.4</v>
      </c>
      <c r="N90" s="2">
        <f t="shared" si="14"/>
        <v>250.46227436272895</v>
      </c>
      <c r="O90" s="10">
        <v>53.4</v>
      </c>
      <c r="P90" s="8">
        <v>647</v>
      </c>
      <c r="Q90" s="8">
        <f>1.016*10^(18)</f>
        <v>1.016E+18</v>
      </c>
      <c r="R90" s="19">
        <v>53.7</v>
      </c>
      <c r="S90">
        <v>564.9</v>
      </c>
      <c r="T90">
        <f>1.001*10^(18)</f>
        <v>1.0009999999999999E+18</v>
      </c>
      <c r="U90" s="10">
        <v>76.900000000000006</v>
      </c>
      <c r="V90" s="8">
        <v>474.7</v>
      </c>
      <c r="W90" s="8">
        <f>6.584*10^(17)</f>
        <v>6.584E+17</v>
      </c>
      <c r="X90" s="19">
        <v>79.7</v>
      </c>
      <c r="Y90" s="21">
        <v>409.9</v>
      </c>
      <c r="Z90" s="6">
        <f>4.996*10^(17)</f>
        <v>4.9960000000000006E+17</v>
      </c>
    </row>
    <row r="91" spans="1:26" x14ac:dyDescent="0.2">
      <c r="A91" t="s">
        <v>30</v>
      </c>
      <c r="B91">
        <v>400</v>
      </c>
      <c r="C91">
        <v>7.7283832789436979E+17</v>
      </c>
      <c r="D91" s="1">
        <f t="shared" si="10"/>
        <v>305.43925944679512</v>
      </c>
      <c r="E91" s="1">
        <v>2097258109493629</v>
      </c>
      <c r="F91" s="1">
        <f t="shared" si="11"/>
        <v>0.81842520048323297</v>
      </c>
      <c r="G91" s="1">
        <f t="shared" si="12"/>
        <v>306.25768464727832</v>
      </c>
      <c r="H91" s="1">
        <v>3.0201628393441715E+17</v>
      </c>
      <c r="I91" s="1">
        <f t="shared" si="13"/>
        <v>116.35300211355826</v>
      </c>
      <c r="J91">
        <v>8.5219246606464896E+17</v>
      </c>
      <c r="K91">
        <v>817.9</v>
      </c>
      <c r="L91">
        <v>8.5219246606464896E+17</v>
      </c>
      <c r="M91">
        <v>833.4</v>
      </c>
      <c r="N91" s="2">
        <f t="shared" si="14"/>
        <v>333.94969915030521</v>
      </c>
      <c r="O91" s="10">
        <v>48.5</v>
      </c>
      <c r="P91" s="8">
        <v>542</v>
      </c>
      <c r="Q91" s="8">
        <f>1.354*10^(18)</f>
        <v>1.354E+18</v>
      </c>
      <c r="R91" s="19">
        <v>49</v>
      </c>
      <c r="S91">
        <v>414.9</v>
      </c>
      <c r="T91">
        <f>1.335*10^(18)</f>
        <v>1.335E+18</v>
      </c>
      <c r="U91" s="10">
        <v>59.9</v>
      </c>
      <c r="V91" s="8">
        <v>446.2</v>
      </c>
      <c r="W91" s="8">
        <f>8.778*10^(17)</f>
        <v>8.778E+17</v>
      </c>
      <c r="X91" s="19">
        <v>74.599999999999994</v>
      </c>
      <c r="Y91" s="21">
        <v>404.6</v>
      </c>
      <c r="Z91" s="6">
        <f>6.661*10^(17)</f>
        <v>6.661E+17</v>
      </c>
    </row>
    <row r="92" spans="1:26" x14ac:dyDescent="0.2">
      <c r="A92" t="s">
        <v>30</v>
      </c>
      <c r="B92">
        <v>500</v>
      </c>
      <c r="C92">
        <v>9.6604790986796237E+17</v>
      </c>
      <c r="D92" s="1">
        <f t="shared" si="10"/>
        <v>381.79907430849397</v>
      </c>
      <c r="E92" s="1">
        <v>2621572636867036</v>
      </c>
      <c r="F92" s="1">
        <f t="shared" si="11"/>
        <v>1.0230315006040411</v>
      </c>
      <c r="G92" s="1">
        <f t="shared" si="12"/>
        <v>382.82210580909799</v>
      </c>
      <c r="H92" s="1">
        <v>3.7752035491802125E+17</v>
      </c>
      <c r="I92" s="1">
        <f t="shared" si="13"/>
        <v>145.44125264194776</v>
      </c>
      <c r="J92">
        <v>1.0652405825808218E+18</v>
      </c>
      <c r="K92">
        <v>820.1</v>
      </c>
      <c r="L92">
        <v>1.0652405825808218E+18</v>
      </c>
      <c r="M92">
        <v>835.7</v>
      </c>
      <c r="N92" s="2">
        <f t="shared" si="14"/>
        <v>417.43712393788155</v>
      </c>
      <c r="O92" s="10">
        <v>44.2</v>
      </c>
      <c r="P92" s="8">
        <v>198.5</v>
      </c>
      <c r="Q92" s="8">
        <f>1.693*10^(18)</f>
        <v>1.693E+18</v>
      </c>
      <c r="R92" s="19">
        <v>44.7</v>
      </c>
      <c r="S92">
        <v>200.3</v>
      </c>
      <c r="T92">
        <f>1.668*10^(18)</f>
        <v>1.668E+18</v>
      </c>
      <c r="U92" s="10">
        <v>52.6</v>
      </c>
      <c r="V92" s="8">
        <v>396.5</v>
      </c>
      <c r="W92" s="8">
        <f>1.097*10^(18)</f>
        <v>1.097E+18</v>
      </c>
      <c r="X92" s="19">
        <v>63.4</v>
      </c>
      <c r="Y92" s="21">
        <v>388.4</v>
      </c>
      <c r="Z92" s="6">
        <f>8.327*10^(17)</f>
        <v>8.327E+17</v>
      </c>
    </row>
    <row r="93" spans="1:26" x14ac:dyDescent="0.2">
      <c r="A93" t="s">
        <v>30</v>
      </c>
      <c r="B93">
        <v>600</v>
      </c>
      <c r="C93">
        <v>1.1592574918415549E+18</v>
      </c>
      <c r="D93" s="1">
        <f t="shared" si="10"/>
        <v>458.15888917019277</v>
      </c>
      <c r="E93" s="1">
        <v>3145887164240444</v>
      </c>
      <c r="F93" s="1">
        <f t="shared" si="11"/>
        <v>1.2276378007248496</v>
      </c>
      <c r="G93" s="1">
        <f t="shared" si="12"/>
        <v>459.3865269709176</v>
      </c>
      <c r="H93" s="1">
        <v>4.5302442590162598E+17</v>
      </c>
      <c r="I93" s="1">
        <f t="shared" si="13"/>
        <v>174.52950317033748</v>
      </c>
      <c r="J93">
        <v>1.2782886990969892E+18</v>
      </c>
      <c r="K93">
        <v>821.8</v>
      </c>
      <c r="L93">
        <v>1.2782886990969892E+18</v>
      </c>
      <c r="M93">
        <v>837.7</v>
      </c>
      <c r="N93" s="2">
        <f t="shared" si="14"/>
        <v>500.9245487254579</v>
      </c>
      <c r="O93" s="10">
        <v>39.4</v>
      </c>
      <c r="P93" s="8">
        <v>56.4</v>
      </c>
      <c r="Q93" s="8">
        <f>2.031*10^(18)</f>
        <v>2.0310000000000003E+18</v>
      </c>
      <c r="R93" s="19">
        <v>39.9</v>
      </c>
      <c r="S93">
        <v>60.3</v>
      </c>
      <c r="T93">
        <f>2.002*10^(18)</f>
        <v>2.0019999999999997E+18</v>
      </c>
      <c r="U93" s="10">
        <v>50</v>
      </c>
      <c r="V93" s="8">
        <v>325.8</v>
      </c>
      <c r="W93" s="8">
        <f>1.317*10^(18)</f>
        <v>1.317E+18</v>
      </c>
      <c r="X93" s="19">
        <v>55.1</v>
      </c>
      <c r="Y93" s="21">
        <v>362.9</v>
      </c>
      <c r="Z93" s="6">
        <f>9.992*10^(17)</f>
        <v>9.9920000000000013E+17</v>
      </c>
    </row>
    <row r="94" spans="1:26" x14ac:dyDescent="0.2">
      <c r="A94" t="s">
        <v>30</v>
      </c>
      <c r="B94">
        <v>700</v>
      </c>
      <c r="C94">
        <v>1.3524670738151473E+18</v>
      </c>
      <c r="D94" s="1">
        <f t="shared" si="10"/>
        <v>534.5187040318915</v>
      </c>
      <c r="E94" s="1">
        <v>3670201691613851</v>
      </c>
      <c r="F94" s="1">
        <f t="shared" si="11"/>
        <v>1.4322441008456577</v>
      </c>
      <c r="G94" s="1">
        <f t="shared" si="12"/>
        <v>535.95094813273715</v>
      </c>
      <c r="H94" s="1">
        <v>5.2852849688522957E+17</v>
      </c>
      <c r="I94" s="1">
        <f t="shared" si="13"/>
        <v>203.61775369872677</v>
      </c>
      <c r="J94">
        <v>1.4913368156131433E+18</v>
      </c>
      <c r="K94">
        <v>823.3</v>
      </c>
      <c r="L94">
        <v>1.4913368156131433E+18</v>
      </c>
      <c r="M94">
        <v>839.3</v>
      </c>
      <c r="N94" s="2">
        <f t="shared" si="14"/>
        <v>584.41197351303413</v>
      </c>
      <c r="O94" s="10">
        <v>34.4</v>
      </c>
      <c r="P94" s="8">
        <v>47.8</v>
      </c>
      <c r="Q94" s="8">
        <f>2.37*10^(18)</f>
        <v>2.37E+18</v>
      </c>
      <c r="R94" s="19">
        <v>34.9</v>
      </c>
      <c r="S94">
        <v>48.6</v>
      </c>
      <c r="T94">
        <f>2.335*10^(18)</f>
        <v>2.335E+18</v>
      </c>
      <c r="U94" s="10">
        <v>46.6</v>
      </c>
      <c r="V94" s="8">
        <v>236.2</v>
      </c>
      <c r="W94" s="8">
        <f>1.536*10^(18)</f>
        <v>1.536E+18</v>
      </c>
      <c r="X94" s="19">
        <v>52.1</v>
      </c>
      <c r="Y94" s="21">
        <v>328.2</v>
      </c>
      <c r="Z94" s="6">
        <f>1.166*10^(18)</f>
        <v>1.166E+18</v>
      </c>
    </row>
    <row r="95" spans="1:26" x14ac:dyDescent="0.2">
      <c r="A95" t="s">
        <v>30</v>
      </c>
      <c r="B95">
        <v>800</v>
      </c>
      <c r="C95">
        <v>1.5456766557887396E+18</v>
      </c>
      <c r="D95" s="1">
        <f t="shared" si="10"/>
        <v>610.87851889359024</v>
      </c>
      <c r="E95" s="1">
        <v>4194516218987258</v>
      </c>
      <c r="F95" s="1">
        <f t="shared" si="11"/>
        <v>1.6368504009664659</v>
      </c>
      <c r="G95" s="1">
        <f t="shared" si="12"/>
        <v>612.51536929455665</v>
      </c>
      <c r="H95" s="1">
        <v>6.040325678688343E+17</v>
      </c>
      <c r="I95" s="1">
        <f t="shared" si="13"/>
        <v>232.70600422711652</v>
      </c>
      <c r="J95">
        <v>1.7043849321292979E+18</v>
      </c>
      <c r="K95">
        <v>824.7</v>
      </c>
      <c r="L95">
        <v>1.7043849321292979E+18</v>
      </c>
      <c r="M95">
        <v>840.7</v>
      </c>
      <c r="N95" s="2">
        <f t="shared" si="14"/>
        <v>667.89939830061041</v>
      </c>
      <c r="O95" s="10">
        <v>29.5</v>
      </c>
      <c r="P95" s="8">
        <v>42.4</v>
      </c>
      <c r="Q95" s="8">
        <f>2.708*10^(18)</f>
        <v>2.708E+18</v>
      </c>
      <c r="R95" s="19">
        <v>30</v>
      </c>
      <c r="S95">
        <v>43.2</v>
      </c>
      <c r="T95">
        <f>2.669*10^(18)</f>
        <v>2.669E+18</v>
      </c>
      <c r="U95" s="10">
        <v>43.8</v>
      </c>
      <c r="V95" s="8">
        <v>140.5</v>
      </c>
      <c r="W95" s="8">
        <f>1.756*10^(18)</f>
        <v>1.756E+18</v>
      </c>
      <c r="X95" s="19">
        <v>50.2</v>
      </c>
      <c r="Y95" s="21">
        <v>284.5</v>
      </c>
      <c r="Z95" s="6">
        <f>1.332*10^(18)</f>
        <v>1.332E+18</v>
      </c>
    </row>
    <row r="96" spans="1:26" ht="16" customHeight="1" x14ac:dyDescent="0.2">
      <c r="A96" t="s">
        <v>30</v>
      </c>
      <c r="B96">
        <v>900</v>
      </c>
      <c r="C96">
        <v>1.7388862377623322E+18</v>
      </c>
      <c r="D96" s="1">
        <f t="shared" si="10"/>
        <v>687.23833375528909</v>
      </c>
      <c r="E96" s="1">
        <v>4718830746360665</v>
      </c>
      <c r="F96" s="1">
        <f t="shared" si="11"/>
        <v>1.8414567010872738</v>
      </c>
      <c r="G96" s="1">
        <f t="shared" si="12"/>
        <v>689.07979045637637</v>
      </c>
      <c r="H96" s="1">
        <v>6.7953663885243789E+17</v>
      </c>
      <c r="I96" s="1">
        <f t="shared" si="13"/>
        <v>261.79425475550585</v>
      </c>
      <c r="J96">
        <v>1.9174330486454697E+18</v>
      </c>
      <c r="K96">
        <v>825.8</v>
      </c>
      <c r="L96">
        <v>1.9174330486454697E+18</v>
      </c>
      <c r="M96">
        <v>842</v>
      </c>
      <c r="N96" s="2">
        <f t="shared" si="14"/>
        <v>751.3868230881867</v>
      </c>
      <c r="O96" s="10">
        <v>24.6</v>
      </c>
      <c r="P96" s="8">
        <v>37.1</v>
      </c>
      <c r="Q96" s="8">
        <f>3.047*10^(18)</f>
        <v>3.047E+18</v>
      </c>
      <c r="R96" s="19">
        <v>25.2</v>
      </c>
      <c r="S96">
        <v>37.799999999999997</v>
      </c>
      <c r="T96">
        <f>3.003*10^(18)</f>
        <v>3.003E+18</v>
      </c>
      <c r="U96" s="10">
        <v>40.700000000000003</v>
      </c>
      <c r="V96" s="8">
        <v>71.099999999999994</v>
      </c>
      <c r="W96" s="8">
        <f>1.975*10^(18)</f>
        <v>1.975E+18</v>
      </c>
      <c r="X96" s="19">
        <v>47.5</v>
      </c>
      <c r="Y96" s="21">
        <v>232.2</v>
      </c>
      <c r="Z96" s="6">
        <f>1.499*10^(18)</f>
        <v>1.499E+18</v>
      </c>
    </row>
    <row r="97" spans="1:26" s="3" customFormat="1" x14ac:dyDescent="0.2">
      <c r="A97" s="3" t="s">
        <v>30</v>
      </c>
      <c r="B97" s="3">
        <v>1000</v>
      </c>
      <c r="C97" s="3">
        <v>1.9320958197359247E+18</v>
      </c>
      <c r="D97" s="4">
        <f t="shared" si="10"/>
        <v>763.59814861698794</v>
      </c>
      <c r="E97" s="4">
        <v>5243145273734073</v>
      </c>
      <c r="F97" s="4">
        <f t="shared" si="11"/>
        <v>2.0460630012080827</v>
      </c>
      <c r="G97" s="4">
        <f t="shared" si="12"/>
        <v>765.64421161819598</v>
      </c>
      <c r="H97" s="4">
        <v>7.550407098360425E+17</v>
      </c>
      <c r="I97" s="4">
        <f t="shared" si="13"/>
        <v>290.88250528389551</v>
      </c>
      <c r="J97" s="3">
        <v>2.1304811651616435E+18</v>
      </c>
      <c r="K97" s="3">
        <v>826.9</v>
      </c>
      <c r="L97" s="3">
        <v>2.1304811651616435E+18</v>
      </c>
      <c r="M97" s="3">
        <v>843.1</v>
      </c>
      <c r="N97" s="5">
        <f t="shared" si="14"/>
        <v>834.8742478757631</v>
      </c>
      <c r="O97" s="11">
        <v>20</v>
      </c>
      <c r="P97" s="9">
        <v>31.8</v>
      </c>
      <c r="Q97" s="9">
        <f>3.385*10^(18)</f>
        <v>3.385E+18</v>
      </c>
      <c r="R97" s="20">
        <v>20.5</v>
      </c>
      <c r="S97" s="3">
        <v>32.5</v>
      </c>
      <c r="T97" s="3">
        <f>3.336*10^(18)</f>
        <v>3.336E+18</v>
      </c>
      <c r="U97" s="11">
        <v>37.299999999999997</v>
      </c>
      <c r="V97" s="9">
        <v>52</v>
      </c>
      <c r="W97" s="9">
        <f>2.195*10^(18)</f>
        <v>2.1949999999999997E+18</v>
      </c>
      <c r="X97" s="20">
        <v>45.6</v>
      </c>
      <c r="Y97" s="3">
        <v>174.3</v>
      </c>
      <c r="Z97" s="7">
        <f>1.665*10^(18)</f>
        <v>1.665E+18</v>
      </c>
    </row>
    <row r="98" spans="1:26" x14ac:dyDescent="0.2">
      <c r="A98" t="s">
        <v>31</v>
      </c>
      <c r="B98">
        <v>10</v>
      </c>
      <c r="C98">
        <v>1.9320958197359248E+16</v>
      </c>
      <c r="D98" s="1">
        <f t="shared" ref="D98:D121" si="15">C98/(6.022*10^(23))*238*10^6</f>
        <v>7.6359814861698787</v>
      </c>
      <c r="E98" s="1">
        <v>52431452737340.703</v>
      </c>
      <c r="F98" s="1">
        <f t="shared" ref="F98:F121" si="16">E98/(6.022*10^(23))*235*10^6</f>
        <v>2.0460630012080813E-2</v>
      </c>
      <c r="G98" s="1">
        <f t="shared" ref="G98:G121" si="17">D98+F98</f>
        <v>7.6564421161819594</v>
      </c>
      <c r="H98" s="1">
        <v>7550407098360421</v>
      </c>
      <c r="I98" s="1">
        <f t="shared" ref="I98:I121" si="18">H98/(6.022*10^(23))*232*10^6</f>
        <v>2.9088250528389534</v>
      </c>
      <c r="J98">
        <v>7337633710706974</v>
      </c>
      <c r="K98">
        <v>353.6</v>
      </c>
      <c r="L98">
        <v>7337633710706974</v>
      </c>
      <c r="M98">
        <v>355.3</v>
      </c>
      <c r="N98" s="2">
        <f t="shared" ref="N98:N121" si="19">G98+0.238*I98</f>
        <v>8.3487424787576305</v>
      </c>
      <c r="O98" s="10">
        <v>27.4</v>
      </c>
      <c r="P98" s="8">
        <v>39.4</v>
      </c>
      <c r="Q98" s="8">
        <f>7.506*10^(15)</f>
        <v>7506000000000000</v>
      </c>
      <c r="R98" s="19">
        <v>27.4</v>
      </c>
      <c r="S98">
        <v>39.4</v>
      </c>
      <c r="T98">
        <f>7.506*10^(15)</f>
        <v>7506000000000000</v>
      </c>
      <c r="U98" s="10">
        <v>27.4</v>
      </c>
      <c r="V98" s="8">
        <v>39.4</v>
      </c>
      <c r="W98" s="8">
        <f>7.506*10^(15)</f>
        <v>7506000000000000</v>
      </c>
      <c r="X98" s="19">
        <v>27.4</v>
      </c>
      <c r="Y98" s="21">
        <v>39.4</v>
      </c>
      <c r="Z98" s="6">
        <f>7.506*10^(15)</f>
        <v>7506000000000000</v>
      </c>
    </row>
    <row r="99" spans="1:26" x14ac:dyDescent="0.2">
      <c r="A99" t="s">
        <v>31</v>
      </c>
      <c r="B99">
        <v>50</v>
      </c>
      <c r="C99">
        <v>9.6604790986796224E+16</v>
      </c>
      <c r="D99" s="1">
        <f t="shared" si="15"/>
        <v>38.17990743084939</v>
      </c>
      <c r="E99" s="1">
        <v>262157263686704</v>
      </c>
      <c r="F99" s="1">
        <f t="shared" si="16"/>
        <v>0.10230315006040426</v>
      </c>
      <c r="G99" s="1">
        <f t="shared" si="17"/>
        <v>38.282210580909798</v>
      </c>
      <c r="H99" s="1">
        <v>3.7752035491802144E+16</v>
      </c>
      <c r="I99" s="1">
        <f t="shared" si="18"/>
        <v>14.544125264194783</v>
      </c>
      <c r="J99">
        <v>3.66881685535348E+16</v>
      </c>
      <c r="K99">
        <v>355.5</v>
      </c>
      <c r="L99">
        <v>3.66881685535348E+16</v>
      </c>
      <c r="M99">
        <v>357.4</v>
      </c>
      <c r="N99" s="2">
        <f t="shared" si="19"/>
        <v>41.743712393788158</v>
      </c>
      <c r="O99" s="10">
        <v>40.1</v>
      </c>
      <c r="P99" s="8">
        <v>53.7</v>
      </c>
      <c r="Q99" s="8">
        <f>3.754*10^(16)</f>
        <v>3.754E+16</v>
      </c>
      <c r="R99" s="19">
        <v>40.1</v>
      </c>
      <c r="S99">
        <v>53.7</v>
      </c>
      <c r="T99">
        <f>3.754*10^(16)</f>
        <v>3.754E+16</v>
      </c>
      <c r="U99" s="10">
        <v>40.1</v>
      </c>
      <c r="V99" s="8">
        <v>53.7</v>
      </c>
      <c r="W99" s="8">
        <f>3.754*10^(16)</f>
        <v>3.754E+16</v>
      </c>
      <c r="X99" s="19">
        <v>40.1</v>
      </c>
      <c r="Y99" s="21">
        <v>53.7</v>
      </c>
      <c r="Z99" s="6">
        <f>3.754*10^(16)</f>
        <v>3.754E+16</v>
      </c>
    </row>
    <row r="100" spans="1:26" x14ac:dyDescent="0.2">
      <c r="A100" t="s">
        <v>31</v>
      </c>
      <c r="B100">
        <v>100</v>
      </c>
      <c r="C100">
        <v>1.9320958197359245E+17</v>
      </c>
      <c r="D100" s="1">
        <f t="shared" si="15"/>
        <v>76.35981486169878</v>
      </c>
      <c r="E100" s="1">
        <v>524314527373407</v>
      </c>
      <c r="F100" s="1">
        <f t="shared" si="16"/>
        <v>0.20460630012080813</v>
      </c>
      <c r="G100" s="1">
        <f t="shared" si="17"/>
        <v>76.564421161819581</v>
      </c>
      <c r="H100" s="1">
        <v>7.5504070983604288E+16</v>
      </c>
      <c r="I100" s="1">
        <f t="shared" si="18"/>
        <v>29.088250528389565</v>
      </c>
      <c r="J100">
        <v>7.33763371070696E+16</v>
      </c>
      <c r="K100">
        <v>356.3</v>
      </c>
      <c r="L100">
        <v>7.33763371070696E+16</v>
      </c>
      <c r="M100">
        <v>358.3</v>
      </c>
      <c r="N100" s="2">
        <f t="shared" si="19"/>
        <v>83.487424787576302</v>
      </c>
      <c r="O100" s="10">
        <v>45.7</v>
      </c>
      <c r="P100" s="8">
        <v>69</v>
      </c>
      <c r="Q100" s="8">
        <f>7.508*10^(16)</f>
        <v>7.508E+16</v>
      </c>
      <c r="R100" s="19">
        <v>45.7</v>
      </c>
      <c r="S100">
        <v>69</v>
      </c>
      <c r="T100">
        <f>7.508*10^(16)</f>
        <v>7.508E+16</v>
      </c>
      <c r="U100" s="10">
        <v>45.7</v>
      </c>
      <c r="V100" s="8">
        <v>69</v>
      </c>
      <c r="W100" s="8">
        <f>7.508*10^(16)</f>
        <v>7.508E+16</v>
      </c>
      <c r="X100" s="19">
        <v>45.7</v>
      </c>
      <c r="Y100" s="21">
        <v>69</v>
      </c>
      <c r="Z100" s="6">
        <f>7.508*10^(16)</f>
        <v>7.508E+16</v>
      </c>
    </row>
    <row r="101" spans="1:26" x14ac:dyDescent="0.2">
      <c r="A101" t="s">
        <v>31</v>
      </c>
      <c r="B101">
        <v>200</v>
      </c>
      <c r="C101">
        <v>3.864191639471849E+17</v>
      </c>
      <c r="D101" s="1">
        <f t="shared" si="15"/>
        <v>152.71962972339756</v>
      </c>
      <c r="E101" s="1">
        <v>1048629054746814</v>
      </c>
      <c r="F101" s="1">
        <f t="shared" si="16"/>
        <v>0.40921260024161626</v>
      </c>
      <c r="G101" s="1">
        <f t="shared" si="17"/>
        <v>153.12884232363916</v>
      </c>
      <c r="H101" s="1">
        <v>1.5100814196720858E+17</v>
      </c>
      <c r="I101" s="1">
        <f t="shared" si="18"/>
        <v>58.176501056779131</v>
      </c>
      <c r="J101">
        <v>1.467526742141392E+17</v>
      </c>
      <c r="K101">
        <v>357.2</v>
      </c>
      <c r="L101">
        <v>1.467526742141392E+17</v>
      </c>
      <c r="M101">
        <v>359.3</v>
      </c>
      <c r="N101" s="2">
        <f t="shared" si="19"/>
        <v>166.9748495751526</v>
      </c>
      <c r="O101" s="10">
        <v>51</v>
      </c>
      <c r="P101" s="8">
        <v>91.7</v>
      </c>
      <c r="Q101" s="8">
        <f>1.502*10^(17)</f>
        <v>1.502E+17</v>
      </c>
      <c r="R101" s="19">
        <v>51</v>
      </c>
      <c r="S101">
        <v>91.7</v>
      </c>
      <c r="T101">
        <f>1.502*10^(17)</f>
        <v>1.502E+17</v>
      </c>
      <c r="U101" s="10">
        <v>51</v>
      </c>
      <c r="V101" s="8">
        <v>91.7</v>
      </c>
      <c r="W101" s="8">
        <f>1.502*10^(17)</f>
        <v>1.502E+17</v>
      </c>
      <c r="X101" s="19">
        <v>51</v>
      </c>
      <c r="Y101" s="21">
        <v>91.7</v>
      </c>
      <c r="Z101" s="6">
        <f>1.502*10^(17)</f>
        <v>1.502E+17</v>
      </c>
    </row>
    <row r="102" spans="1:26" x14ac:dyDescent="0.2">
      <c r="A102" t="s">
        <v>31</v>
      </c>
      <c r="B102">
        <v>300</v>
      </c>
      <c r="C102">
        <v>5.7962874592077747E+17</v>
      </c>
      <c r="D102" s="1">
        <f t="shared" si="15"/>
        <v>229.07944458509638</v>
      </c>
      <c r="E102" s="1">
        <v>1572943582120222</v>
      </c>
      <c r="F102" s="1">
        <f t="shared" si="16"/>
        <v>0.61381890036242481</v>
      </c>
      <c r="G102" s="1">
        <f t="shared" si="17"/>
        <v>229.6932634854588</v>
      </c>
      <c r="H102" s="1">
        <v>2.2651221295081299E+17</v>
      </c>
      <c r="I102" s="1">
        <f t="shared" si="18"/>
        <v>87.264751585168739</v>
      </c>
      <c r="J102">
        <v>2.2012901132120883E+17</v>
      </c>
      <c r="K102">
        <v>357.7</v>
      </c>
      <c r="L102">
        <v>2.2012901132120883E+17</v>
      </c>
      <c r="M102">
        <v>359.8</v>
      </c>
      <c r="N102" s="2">
        <f t="shared" si="19"/>
        <v>250.46227436272895</v>
      </c>
      <c r="O102" s="10">
        <v>53.6</v>
      </c>
      <c r="P102" s="8">
        <v>101.9</v>
      </c>
      <c r="Q102" s="8">
        <f>2.253*10^(17)</f>
        <v>2.253E+17</v>
      </c>
      <c r="R102" s="19">
        <v>53.6</v>
      </c>
      <c r="S102">
        <v>101.9</v>
      </c>
      <c r="T102">
        <f>2.253*10^(17)</f>
        <v>2.253E+17</v>
      </c>
      <c r="U102" s="10">
        <v>53.6</v>
      </c>
      <c r="V102" s="8">
        <v>101.9</v>
      </c>
      <c r="W102" s="8">
        <f>2.253*10^(17)</f>
        <v>2.253E+17</v>
      </c>
      <c r="X102" s="19">
        <v>53.6</v>
      </c>
      <c r="Y102" s="21">
        <v>101.9</v>
      </c>
      <c r="Z102" s="6">
        <f>2.253*10^(17)</f>
        <v>2.253E+17</v>
      </c>
    </row>
    <row r="103" spans="1:26" x14ac:dyDescent="0.2">
      <c r="A103" t="s">
        <v>31</v>
      </c>
      <c r="B103">
        <v>400</v>
      </c>
      <c r="C103">
        <v>7.7283832789436979E+17</v>
      </c>
      <c r="D103" s="1">
        <f t="shared" si="15"/>
        <v>305.43925944679512</v>
      </c>
      <c r="E103" s="1">
        <v>2097258109493629</v>
      </c>
      <c r="F103" s="1">
        <f t="shared" si="16"/>
        <v>0.81842520048323297</v>
      </c>
      <c r="G103" s="1">
        <f t="shared" si="17"/>
        <v>306.25768464727832</v>
      </c>
      <c r="H103" s="1">
        <v>3.0201628393441715E+17</v>
      </c>
      <c r="I103" s="1">
        <f t="shared" si="18"/>
        <v>116.35300211355826</v>
      </c>
      <c r="J103">
        <v>2.935053484282784E+17</v>
      </c>
      <c r="K103">
        <v>358.1</v>
      </c>
      <c r="L103">
        <v>2.935053484282784E+17</v>
      </c>
      <c r="M103">
        <v>360.3</v>
      </c>
      <c r="N103" s="2">
        <f t="shared" si="19"/>
        <v>333.94969915030521</v>
      </c>
      <c r="O103" s="10">
        <v>55.7</v>
      </c>
      <c r="P103" s="8">
        <v>107.1</v>
      </c>
      <c r="Q103" s="8">
        <f>3.003*10^(17)</f>
        <v>3.003E+17</v>
      </c>
      <c r="R103" s="19">
        <v>55.7</v>
      </c>
      <c r="S103">
        <v>107.1</v>
      </c>
      <c r="T103">
        <f>3.003*10^(17)</f>
        <v>3.003E+17</v>
      </c>
      <c r="U103" s="10">
        <v>55.7</v>
      </c>
      <c r="V103" s="8">
        <v>107.1</v>
      </c>
      <c r="W103" s="8">
        <f>3.003*10^(17)</f>
        <v>3.003E+17</v>
      </c>
      <c r="X103" s="19">
        <v>55.7</v>
      </c>
      <c r="Y103" s="21">
        <v>107.1</v>
      </c>
      <c r="Z103" s="6">
        <f>3.003*10^(17)</f>
        <v>3.003E+17</v>
      </c>
    </row>
    <row r="104" spans="1:26" x14ac:dyDescent="0.2">
      <c r="A104" t="s">
        <v>31</v>
      </c>
      <c r="B104">
        <v>500</v>
      </c>
      <c r="C104">
        <v>9.6604790986796237E+17</v>
      </c>
      <c r="D104" s="1">
        <f t="shared" si="15"/>
        <v>381.79907430849397</v>
      </c>
      <c r="E104" s="1">
        <v>2621572636867036</v>
      </c>
      <c r="F104" s="1">
        <f t="shared" si="16"/>
        <v>1.0230315006040411</v>
      </c>
      <c r="G104" s="1">
        <f t="shared" si="17"/>
        <v>382.82210580909799</v>
      </c>
      <c r="H104" s="1">
        <v>3.7752035491802125E+17</v>
      </c>
      <c r="I104" s="1">
        <f t="shared" si="18"/>
        <v>145.44125264194776</v>
      </c>
      <c r="J104">
        <v>3.6688168553534867E+17</v>
      </c>
      <c r="K104">
        <v>358.4</v>
      </c>
      <c r="L104">
        <v>3.6688168553534867E+17</v>
      </c>
      <c r="M104">
        <v>360.6</v>
      </c>
      <c r="N104" s="2">
        <f t="shared" si="19"/>
        <v>417.43712393788155</v>
      </c>
      <c r="O104" s="10">
        <v>57.6</v>
      </c>
      <c r="P104" s="8">
        <v>110.1</v>
      </c>
      <c r="Q104" s="8">
        <f>3.754*10^(17)</f>
        <v>3.754E+17</v>
      </c>
      <c r="R104" s="19">
        <v>57.6</v>
      </c>
      <c r="S104">
        <v>110.1</v>
      </c>
      <c r="T104">
        <f>3.754*10^(17)</f>
        <v>3.754E+17</v>
      </c>
      <c r="U104" s="10">
        <v>57.6</v>
      </c>
      <c r="V104" s="8">
        <v>110.1</v>
      </c>
      <c r="W104" s="8">
        <f>3.754*10^(17)</f>
        <v>3.754E+17</v>
      </c>
      <c r="X104" s="19">
        <v>57.6</v>
      </c>
      <c r="Y104" s="21">
        <v>110.1</v>
      </c>
      <c r="Z104" s="6">
        <f>3.754*10^(17)</f>
        <v>3.754E+17</v>
      </c>
    </row>
    <row r="105" spans="1:26" x14ac:dyDescent="0.2">
      <c r="A105" t="s">
        <v>31</v>
      </c>
      <c r="B105">
        <v>600</v>
      </c>
      <c r="C105">
        <v>1.1592574918415549E+18</v>
      </c>
      <c r="D105" s="1">
        <f t="shared" si="15"/>
        <v>458.15888917019277</v>
      </c>
      <c r="E105" s="1">
        <v>3145887164240444</v>
      </c>
      <c r="F105" s="1">
        <f t="shared" si="16"/>
        <v>1.2276378007248496</v>
      </c>
      <c r="G105" s="1">
        <f t="shared" si="17"/>
        <v>459.3865269709176</v>
      </c>
      <c r="H105" s="1">
        <v>4.5302442590162598E+17</v>
      </c>
      <c r="I105" s="1">
        <f t="shared" si="18"/>
        <v>174.52950317033748</v>
      </c>
      <c r="J105">
        <v>4.4025802264241766E+17</v>
      </c>
      <c r="K105">
        <v>358.7</v>
      </c>
      <c r="L105">
        <v>4.4025802264241766E+17</v>
      </c>
      <c r="M105">
        <v>360.8</v>
      </c>
      <c r="N105" s="2">
        <f t="shared" si="19"/>
        <v>500.9245487254579</v>
      </c>
      <c r="O105" s="10">
        <v>58.9</v>
      </c>
      <c r="P105" s="8">
        <v>111.9</v>
      </c>
      <c r="Q105" s="8">
        <f>4.505*10^(17)</f>
        <v>4.505E+17</v>
      </c>
      <c r="R105" s="19">
        <v>58.9</v>
      </c>
      <c r="S105">
        <v>111.9</v>
      </c>
      <c r="T105">
        <f>4.505*10^(17)</f>
        <v>4.505E+17</v>
      </c>
      <c r="U105" s="10">
        <v>58.9</v>
      </c>
      <c r="V105" s="8">
        <v>111.9</v>
      </c>
      <c r="W105" s="8">
        <f>4.505*10^(17)</f>
        <v>4.505E+17</v>
      </c>
      <c r="X105" s="19">
        <v>58.9</v>
      </c>
      <c r="Y105" s="21">
        <v>111.9</v>
      </c>
      <c r="Z105" s="6">
        <f>4.505*10^(17)</f>
        <v>4.505E+17</v>
      </c>
    </row>
    <row r="106" spans="1:26" x14ac:dyDescent="0.2">
      <c r="A106" t="s">
        <v>31</v>
      </c>
      <c r="B106">
        <v>700</v>
      </c>
      <c r="C106">
        <v>1.3524670738151473E+18</v>
      </c>
      <c r="D106" s="1">
        <f t="shared" si="15"/>
        <v>534.5187040318915</v>
      </c>
      <c r="E106" s="1">
        <v>3670201691613851</v>
      </c>
      <c r="F106" s="1">
        <f t="shared" si="16"/>
        <v>1.4322441008456577</v>
      </c>
      <c r="G106" s="1">
        <f t="shared" si="17"/>
        <v>535.95094813273715</v>
      </c>
      <c r="H106" s="1">
        <v>5.2852849688522957E+17</v>
      </c>
      <c r="I106" s="1">
        <f t="shared" si="18"/>
        <v>203.61775369872677</v>
      </c>
      <c r="J106">
        <v>5.1363435974948794E+17</v>
      </c>
      <c r="K106">
        <v>358.9</v>
      </c>
      <c r="L106">
        <v>5.1363435974948794E+17</v>
      </c>
      <c r="M106">
        <v>361.1</v>
      </c>
      <c r="N106" s="2">
        <f t="shared" si="19"/>
        <v>584.41197351303413</v>
      </c>
      <c r="O106" s="10">
        <v>59.7</v>
      </c>
      <c r="P106" s="8">
        <v>112.9</v>
      </c>
      <c r="Q106" s="8">
        <f>5.256*10^(17)</f>
        <v>5.256E+17</v>
      </c>
      <c r="R106" s="19">
        <v>59.7</v>
      </c>
      <c r="S106">
        <v>112.9</v>
      </c>
      <c r="T106">
        <f>5.256*10^(17)</f>
        <v>5.256E+17</v>
      </c>
      <c r="U106" s="10">
        <v>59.7</v>
      </c>
      <c r="V106" s="8">
        <v>112.9</v>
      </c>
      <c r="W106" s="8">
        <f>5.256*10^(17)</f>
        <v>5.256E+17</v>
      </c>
      <c r="X106" s="19">
        <v>59.7</v>
      </c>
      <c r="Y106" s="21">
        <v>112.9</v>
      </c>
      <c r="Z106" s="6">
        <f>5.256*10^(17)</f>
        <v>5.256E+17</v>
      </c>
    </row>
    <row r="107" spans="1:26" x14ac:dyDescent="0.2">
      <c r="A107" t="s">
        <v>31</v>
      </c>
      <c r="B107">
        <v>800</v>
      </c>
      <c r="C107">
        <v>1.5456766557887396E+18</v>
      </c>
      <c r="D107" s="1">
        <f t="shared" si="15"/>
        <v>610.87851889359024</v>
      </c>
      <c r="E107" s="1">
        <v>4194516218987258</v>
      </c>
      <c r="F107" s="1">
        <f t="shared" si="16"/>
        <v>1.6368504009664659</v>
      </c>
      <c r="G107" s="1">
        <f t="shared" si="17"/>
        <v>612.51536929455665</v>
      </c>
      <c r="H107" s="1">
        <v>6.040325678688343E+17</v>
      </c>
      <c r="I107" s="1">
        <f t="shared" si="18"/>
        <v>232.70600422711652</v>
      </c>
      <c r="J107">
        <v>5.870106968565568E+17</v>
      </c>
      <c r="K107">
        <v>359.1</v>
      </c>
      <c r="L107">
        <v>5.870106968565568E+17</v>
      </c>
      <c r="M107">
        <v>361.3</v>
      </c>
      <c r="N107" s="2">
        <f t="shared" si="19"/>
        <v>667.89939830061041</v>
      </c>
      <c r="O107" s="10">
        <v>60</v>
      </c>
      <c r="P107" s="8">
        <v>113.3</v>
      </c>
      <c r="Q107" s="8">
        <f>6.007*10^(17)</f>
        <v>6.007E+17</v>
      </c>
      <c r="R107" s="19">
        <v>60</v>
      </c>
      <c r="S107">
        <v>113.3</v>
      </c>
      <c r="T107">
        <f>6.007*10^(17)</f>
        <v>6.007E+17</v>
      </c>
      <c r="U107" s="10">
        <v>60</v>
      </c>
      <c r="V107" s="8">
        <v>113.3</v>
      </c>
      <c r="W107" s="8">
        <f>6.007*10^(17)</f>
        <v>6.007E+17</v>
      </c>
      <c r="X107" s="19">
        <v>60</v>
      </c>
      <c r="Y107" s="21">
        <v>113.3</v>
      </c>
      <c r="Z107" s="6">
        <f>6.007*10^(17)</f>
        <v>6.007E+17</v>
      </c>
    </row>
    <row r="108" spans="1:26" x14ac:dyDescent="0.2">
      <c r="A108" t="s">
        <v>31</v>
      </c>
      <c r="B108">
        <v>900</v>
      </c>
      <c r="C108">
        <v>1.7388862377623322E+18</v>
      </c>
      <c r="D108" s="1">
        <f t="shared" si="15"/>
        <v>687.23833375528909</v>
      </c>
      <c r="E108" s="1">
        <v>4718830746360665</v>
      </c>
      <c r="F108" s="1">
        <f t="shared" si="16"/>
        <v>1.8414567010872738</v>
      </c>
      <c r="G108" s="1">
        <f t="shared" si="17"/>
        <v>689.07979045637637</v>
      </c>
      <c r="H108" s="1">
        <v>6.7953663885243789E+17</v>
      </c>
      <c r="I108" s="1">
        <f t="shared" si="18"/>
        <v>261.79425475550585</v>
      </c>
      <c r="J108">
        <v>6.6038703396362816E+17</v>
      </c>
      <c r="K108">
        <v>359.2</v>
      </c>
      <c r="L108">
        <v>6.6038703396362816E+17</v>
      </c>
      <c r="M108">
        <v>361.5</v>
      </c>
      <c r="N108" s="2">
        <f t="shared" si="19"/>
        <v>751.3868230881867</v>
      </c>
      <c r="O108" s="10">
        <v>59.8</v>
      </c>
      <c r="P108" s="8">
        <v>113.3</v>
      </c>
      <c r="Q108" s="8">
        <f>6.757*10^(17)</f>
        <v>6.757E+17</v>
      </c>
      <c r="R108" s="19">
        <v>59.8</v>
      </c>
      <c r="S108">
        <v>113.3</v>
      </c>
      <c r="T108">
        <f>6.757*10^(17)</f>
        <v>6.757E+17</v>
      </c>
      <c r="U108" s="10">
        <v>59.8</v>
      </c>
      <c r="V108" s="8">
        <v>113.3</v>
      </c>
      <c r="W108" s="8">
        <f>6.757*10^(17)</f>
        <v>6.757E+17</v>
      </c>
      <c r="X108" s="19">
        <v>59.8</v>
      </c>
      <c r="Y108" s="21">
        <v>113.3</v>
      </c>
      <c r="Z108" s="6">
        <f>6.757*10^(17)</f>
        <v>6.757E+17</v>
      </c>
    </row>
    <row r="109" spans="1:26" s="3" customFormat="1" x14ac:dyDescent="0.2">
      <c r="A109" s="3" t="s">
        <v>31</v>
      </c>
      <c r="B109" s="3">
        <v>1000</v>
      </c>
      <c r="C109" s="3">
        <v>1.9320958197359247E+18</v>
      </c>
      <c r="D109" s="4">
        <f t="shared" si="15"/>
        <v>763.59814861698794</v>
      </c>
      <c r="E109" s="4">
        <v>5243145273734073</v>
      </c>
      <c r="F109" s="4">
        <f t="shared" si="16"/>
        <v>2.0460630012080827</v>
      </c>
      <c r="G109" s="4">
        <f t="shared" si="17"/>
        <v>765.64421161819598</v>
      </c>
      <c r="H109" s="4">
        <v>7.550407098360425E+17</v>
      </c>
      <c r="I109" s="4">
        <f t="shared" si="18"/>
        <v>290.88250528389551</v>
      </c>
      <c r="J109" s="3">
        <v>7.3376337107069734E+17</v>
      </c>
      <c r="K109" s="3">
        <v>359.4</v>
      </c>
      <c r="L109" s="3">
        <v>7.3376337107069734E+17</v>
      </c>
      <c r="M109" s="3">
        <v>361.6</v>
      </c>
      <c r="N109" s="5">
        <f t="shared" si="19"/>
        <v>834.8742478757631</v>
      </c>
      <c r="O109" s="11">
        <v>59.3</v>
      </c>
      <c r="P109" s="9">
        <v>113</v>
      </c>
      <c r="Q109" s="9">
        <f>7.508*10^(17)</f>
        <v>7.508E+17</v>
      </c>
      <c r="R109" s="20">
        <v>59.3</v>
      </c>
      <c r="S109" s="3">
        <v>113</v>
      </c>
      <c r="T109" s="3">
        <f>7.508*10^(17)</f>
        <v>7.508E+17</v>
      </c>
      <c r="U109" s="11">
        <v>59.3</v>
      </c>
      <c r="V109" s="9">
        <v>113</v>
      </c>
      <c r="W109" s="9">
        <f>7.508*10^(17)</f>
        <v>7.508E+17</v>
      </c>
      <c r="X109" s="20">
        <v>59.3</v>
      </c>
      <c r="Y109" s="3">
        <v>113</v>
      </c>
      <c r="Z109" s="7">
        <f>7.508*10^(17)</f>
        <v>7.508E+17</v>
      </c>
    </row>
    <row r="110" spans="1:26" x14ac:dyDescent="0.2">
      <c r="A110" t="s">
        <v>32</v>
      </c>
      <c r="B110">
        <v>10</v>
      </c>
      <c r="C110">
        <v>1.9320958197359248E+16</v>
      </c>
      <c r="D110" s="1">
        <f t="shared" si="15"/>
        <v>7.6359814861698787</v>
      </c>
      <c r="E110" s="1">
        <v>52431452737340.703</v>
      </c>
      <c r="F110" s="1">
        <f t="shared" si="16"/>
        <v>2.0460630012080813E-2</v>
      </c>
      <c r="G110" s="1">
        <f t="shared" si="17"/>
        <v>7.6564421161819594</v>
      </c>
      <c r="H110" s="1">
        <v>7550407098360421</v>
      </c>
      <c r="I110" s="1">
        <f t="shared" si="18"/>
        <v>2.9088250528389534</v>
      </c>
      <c r="J110">
        <v>1.0389010244028716E+16</v>
      </c>
      <c r="K110">
        <v>373.6</v>
      </c>
      <c r="L110">
        <v>1.0389010244028716E+16</v>
      </c>
      <c r="M110">
        <v>376.6</v>
      </c>
      <c r="N110" s="2">
        <f t="shared" si="19"/>
        <v>8.3487424787576305</v>
      </c>
      <c r="O110" s="10">
        <v>30.6</v>
      </c>
      <c r="P110" s="8">
        <v>43</v>
      </c>
      <c r="Q110" s="8">
        <f>1.089*10^(16)</f>
        <v>1.089E+16</v>
      </c>
      <c r="R110" s="19">
        <v>30.6</v>
      </c>
      <c r="S110">
        <v>43</v>
      </c>
      <c r="T110">
        <f>1.089*10^(16)</f>
        <v>1.089E+16</v>
      </c>
      <c r="U110" s="10">
        <v>30.6</v>
      </c>
      <c r="V110" s="8">
        <v>43</v>
      </c>
      <c r="W110" s="8">
        <f>1.089*10^(16)</f>
        <v>1.089E+16</v>
      </c>
      <c r="X110" s="19">
        <v>30.6</v>
      </c>
      <c r="Y110" s="21">
        <v>43</v>
      </c>
      <c r="Z110" s="6">
        <f>1.089*10^(16)</f>
        <v>1.089E+16</v>
      </c>
    </row>
    <row r="111" spans="1:26" x14ac:dyDescent="0.2">
      <c r="A111" t="s">
        <v>32</v>
      </c>
      <c r="B111">
        <v>50</v>
      </c>
      <c r="C111">
        <v>9.6604790986796224E+16</v>
      </c>
      <c r="D111" s="1">
        <f t="shared" si="15"/>
        <v>38.17990743084939</v>
      </c>
      <c r="E111" s="1">
        <v>262157263686704</v>
      </c>
      <c r="F111" s="1">
        <f t="shared" si="16"/>
        <v>0.10230315006040426</v>
      </c>
      <c r="G111" s="1">
        <f t="shared" si="17"/>
        <v>38.282210580909798</v>
      </c>
      <c r="H111" s="1">
        <v>3.7752035491802144E+16</v>
      </c>
      <c r="I111" s="1">
        <f t="shared" si="18"/>
        <v>14.544125264194783</v>
      </c>
      <c r="J111">
        <v>5.1945051220143584E+16</v>
      </c>
      <c r="K111">
        <v>376.8</v>
      </c>
      <c r="L111">
        <v>5.1945051220143584E+16</v>
      </c>
      <c r="M111">
        <v>380.2</v>
      </c>
      <c r="N111" s="2">
        <f t="shared" si="19"/>
        <v>41.743712393788158</v>
      </c>
      <c r="O111" s="10">
        <v>43.5</v>
      </c>
      <c r="P111" s="8">
        <v>76.8</v>
      </c>
      <c r="Q111" s="8">
        <f>5.445*10^(16)</f>
        <v>5.445E+16</v>
      </c>
      <c r="R111" s="19">
        <v>43.5</v>
      </c>
      <c r="S111">
        <v>76.8</v>
      </c>
      <c r="T111">
        <f>5.445*10^(16)</f>
        <v>5.445E+16</v>
      </c>
      <c r="U111" s="10">
        <v>43.5</v>
      </c>
      <c r="V111" s="8">
        <v>76.8</v>
      </c>
      <c r="W111" s="8">
        <f>5.445*10^(16)</f>
        <v>5.445E+16</v>
      </c>
      <c r="X111" s="19">
        <v>43.5</v>
      </c>
      <c r="Y111" s="21">
        <v>76.8</v>
      </c>
      <c r="Z111" s="6">
        <f>5.445*10^(16)</f>
        <v>5.445E+16</v>
      </c>
    </row>
    <row r="112" spans="1:26" x14ac:dyDescent="0.2">
      <c r="A112" t="s">
        <v>32</v>
      </c>
      <c r="B112">
        <v>100</v>
      </c>
      <c r="C112">
        <v>1.9320958197359245E+17</v>
      </c>
      <c r="D112" s="1">
        <f t="shared" si="15"/>
        <v>76.35981486169878</v>
      </c>
      <c r="E112" s="1">
        <v>524314527373407</v>
      </c>
      <c r="F112" s="1">
        <f t="shared" si="16"/>
        <v>0.20460630012080813</v>
      </c>
      <c r="G112" s="1">
        <f t="shared" si="17"/>
        <v>76.564421161819581</v>
      </c>
      <c r="H112" s="1">
        <v>7.5504070983604288E+16</v>
      </c>
      <c r="I112" s="1">
        <f t="shared" si="18"/>
        <v>29.088250528389565</v>
      </c>
      <c r="J112">
        <v>1.0389010244028717E+17</v>
      </c>
      <c r="K112">
        <v>378.3</v>
      </c>
      <c r="L112">
        <v>1.0389010244028717E+17</v>
      </c>
      <c r="M112">
        <v>382</v>
      </c>
      <c r="N112" s="2">
        <f t="shared" si="19"/>
        <v>83.487424787576302</v>
      </c>
      <c r="O112" s="10">
        <v>48.9</v>
      </c>
      <c r="P112" s="8">
        <v>161.4</v>
      </c>
      <c r="Q112" s="8">
        <f>1.089*10^(17)</f>
        <v>1.089E+17</v>
      </c>
      <c r="R112" s="19">
        <v>48.9</v>
      </c>
      <c r="S112">
        <v>161.4</v>
      </c>
      <c r="T112">
        <f>1.089*10^(17)</f>
        <v>1.089E+17</v>
      </c>
      <c r="U112" s="10">
        <v>48.9</v>
      </c>
      <c r="V112" s="8">
        <v>161.4</v>
      </c>
      <c r="W112" s="8">
        <f>1.089*10^(17)</f>
        <v>1.089E+17</v>
      </c>
      <c r="X112" s="19">
        <v>48.9</v>
      </c>
      <c r="Y112" s="21">
        <v>161.4</v>
      </c>
      <c r="Z112" s="6">
        <f>1.089*10^(17)</f>
        <v>1.089E+17</v>
      </c>
    </row>
    <row r="113" spans="1:26" x14ac:dyDescent="0.2">
      <c r="A113" t="s">
        <v>32</v>
      </c>
      <c r="B113">
        <v>200</v>
      </c>
      <c r="C113">
        <v>3.864191639471849E+17</v>
      </c>
      <c r="D113" s="1">
        <f t="shared" si="15"/>
        <v>152.71962972339756</v>
      </c>
      <c r="E113" s="1">
        <v>1048629054746814</v>
      </c>
      <c r="F113" s="1">
        <f t="shared" si="16"/>
        <v>0.40921260024161626</v>
      </c>
      <c r="G113" s="1">
        <f t="shared" si="17"/>
        <v>153.12884232363916</v>
      </c>
      <c r="H113" s="1">
        <v>1.5100814196720858E+17</v>
      </c>
      <c r="I113" s="1">
        <f t="shared" si="18"/>
        <v>58.176501056779131</v>
      </c>
      <c r="J113">
        <v>2.0778020488057434E+17</v>
      </c>
      <c r="K113">
        <v>379.9</v>
      </c>
      <c r="L113">
        <v>2.0778020488057434E+17</v>
      </c>
      <c r="M113">
        <v>383.9</v>
      </c>
      <c r="N113" s="2">
        <f t="shared" si="19"/>
        <v>166.9748495751526</v>
      </c>
      <c r="O113" s="10">
        <v>54.2</v>
      </c>
      <c r="P113" s="8">
        <v>229.7</v>
      </c>
      <c r="Q113" s="8">
        <f>2.178*10^(17)</f>
        <v>2.178E+17</v>
      </c>
      <c r="R113" s="19">
        <v>54.2</v>
      </c>
      <c r="S113">
        <v>229.7</v>
      </c>
      <c r="T113">
        <f>2.178*10^(17)</f>
        <v>2.178E+17</v>
      </c>
      <c r="U113" s="10">
        <v>54.2</v>
      </c>
      <c r="V113" s="8">
        <v>229.7</v>
      </c>
      <c r="W113" s="8">
        <f>2.178*10^(17)</f>
        <v>2.178E+17</v>
      </c>
      <c r="X113" s="19">
        <v>54.2</v>
      </c>
      <c r="Y113" s="21">
        <v>229.7</v>
      </c>
      <c r="Z113" s="6">
        <f>2.178*10^(17)</f>
        <v>2.178E+17</v>
      </c>
    </row>
    <row r="114" spans="1:26" x14ac:dyDescent="0.2">
      <c r="A114" t="s">
        <v>32</v>
      </c>
      <c r="B114">
        <v>300</v>
      </c>
      <c r="C114">
        <v>5.7962874592077747E+17</v>
      </c>
      <c r="D114" s="1">
        <f t="shared" si="15"/>
        <v>229.07944458509638</v>
      </c>
      <c r="E114" s="1">
        <v>1572943582120222</v>
      </c>
      <c r="F114" s="1">
        <f t="shared" si="16"/>
        <v>0.61381890036242481</v>
      </c>
      <c r="G114" s="1">
        <f t="shared" si="17"/>
        <v>229.6932634854588</v>
      </c>
      <c r="H114" s="1">
        <v>2.2651221295081299E+17</v>
      </c>
      <c r="I114" s="1">
        <f t="shared" si="18"/>
        <v>87.264751585168739</v>
      </c>
      <c r="J114">
        <v>3.1167030732086176E+17</v>
      </c>
      <c r="K114">
        <v>380.9</v>
      </c>
      <c r="L114">
        <v>3.1167030732086176E+17</v>
      </c>
      <c r="M114">
        <v>386</v>
      </c>
      <c r="N114" s="2">
        <f t="shared" si="19"/>
        <v>250.46227436272895</v>
      </c>
      <c r="O114" s="10">
        <v>61.5</v>
      </c>
      <c r="P114" s="8">
        <v>252.7</v>
      </c>
      <c r="Q114" s="8">
        <f>3.267*10^(17)</f>
        <v>3.267E+17</v>
      </c>
      <c r="R114" s="19">
        <v>61.5</v>
      </c>
      <c r="S114">
        <v>252.7</v>
      </c>
      <c r="T114">
        <f>3.267*10^(17)</f>
        <v>3.267E+17</v>
      </c>
      <c r="U114" s="10">
        <v>61.5</v>
      </c>
      <c r="V114" s="8">
        <v>252.7</v>
      </c>
      <c r="W114" s="8">
        <f>3.267*10^(17)</f>
        <v>3.267E+17</v>
      </c>
      <c r="X114" s="19">
        <v>61.5</v>
      </c>
      <c r="Y114" s="21">
        <v>252.7</v>
      </c>
      <c r="Z114" s="6">
        <f>3.267*10^(17)</f>
        <v>3.267E+17</v>
      </c>
    </row>
    <row r="115" spans="1:26" x14ac:dyDescent="0.2">
      <c r="A115" t="s">
        <v>32</v>
      </c>
      <c r="B115">
        <v>400</v>
      </c>
      <c r="C115">
        <v>7.7283832789436979E+17</v>
      </c>
      <c r="D115" s="1">
        <f t="shared" si="15"/>
        <v>305.43925944679512</v>
      </c>
      <c r="E115" s="1">
        <v>2097258109493629</v>
      </c>
      <c r="F115" s="1">
        <f t="shared" si="16"/>
        <v>0.81842520048323297</v>
      </c>
      <c r="G115" s="1">
        <f t="shared" si="17"/>
        <v>306.25768464727832</v>
      </c>
      <c r="H115" s="1">
        <v>3.0201628393441715E+17</v>
      </c>
      <c r="I115" s="1">
        <f t="shared" si="18"/>
        <v>116.35300211355826</v>
      </c>
      <c r="J115">
        <v>4.1556040976114867E+17</v>
      </c>
      <c r="K115">
        <v>381.6</v>
      </c>
      <c r="L115">
        <v>4.1556040976114867E+17</v>
      </c>
      <c r="M115">
        <v>401.4</v>
      </c>
      <c r="N115" s="2">
        <f t="shared" si="19"/>
        <v>333.94969915030521</v>
      </c>
      <c r="O115" s="10">
        <v>68</v>
      </c>
      <c r="P115" s="8">
        <v>261.8</v>
      </c>
      <c r="Q115" s="8">
        <f>4.356*10^(17)</f>
        <v>4.356E+17</v>
      </c>
      <c r="R115" s="19">
        <v>68</v>
      </c>
      <c r="S115">
        <v>261.8</v>
      </c>
      <c r="T115">
        <f>4.356*10^(17)</f>
        <v>4.356E+17</v>
      </c>
      <c r="U115" s="10">
        <v>68</v>
      </c>
      <c r="V115" s="8">
        <v>261.8</v>
      </c>
      <c r="W115" s="8">
        <f>4.356*10^(17)</f>
        <v>4.356E+17</v>
      </c>
      <c r="X115" s="19">
        <v>68</v>
      </c>
      <c r="Y115" s="21">
        <v>261.8</v>
      </c>
      <c r="Z115" s="6">
        <f>4.356*10^(17)</f>
        <v>4.356E+17</v>
      </c>
    </row>
    <row r="116" spans="1:26" x14ac:dyDescent="0.2">
      <c r="A116" t="s">
        <v>32</v>
      </c>
      <c r="B116">
        <v>500</v>
      </c>
      <c r="C116">
        <v>9.6604790986796237E+17</v>
      </c>
      <c r="D116" s="1">
        <f t="shared" si="15"/>
        <v>381.79907430849397</v>
      </c>
      <c r="E116" s="1">
        <v>2621572636867036</v>
      </c>
      <c r="F116" s="1">
        <f t="shared" si="16"/>
        <v>1.0230315006040411</v>
      </c>
      <c r="G116" s="1">
        <f t="shared" si="17"/>
        <v>382.82210580909799</v>
      </c>
      <c r="H116" s="1">
        <v>3.7752035491802125E+17</v>
      </c>
      <c r="I116" s="1">
        <f t="shared" si="18"/>
        <v>145.44125264194776</v>
      </c>
      <c r="J116">
        <v>5.1945051220143482E+17</v>
      </c>
      <c r="K116">
        <v>382.2</v>
      </c>
      <c r="L116">
        <v>5.1945051220143482E+17</v>
      </c>
      <c r="M116">
        <v>444.4</v>
      </c>
      <c r="N116" s="2">
        <f t="shared" si="19"/>
        <v>417.43712393788155</v>
      </c>
      <c r="O116" s="10">
        <v>70.3</v>
      </c>
      <c r="P116" s="8">
        <v>264.5</v>
      </c>
      <c r="Q116" s="8">
        <f>5.445*10^(17)</f>
        <v>5.445E+17</v>
      </c>
      <c r="R116" s="19">
        <v>70.3</v>
      </c>
      <c r="S116">
        <v>264.5</v>
      </c>
      <c r="T116">
        <f>5.445*10^(17)</f>
        <v>5.445E+17</v>
      </c>
      <c r="U116" s="10">
        <v>70.3</v>
      </c>
      <c r="V116" s="8">
        <v>264.5</v>
      </c>
      <c r="W116" s="8">
        <f>5.445*10^(17)</f>
        <v>5.445E+17</v>
      </c>
      <c r="X116" s="19">
        <v>70.3</v>
      </c>
      <c r="Y116" s="21">
        <v>264.5</v>
      </c>
      <c r="Z116" s="6">
        <f>5.445*10^(17)</f>
        <v>5.445E+17</v>
      </c>
    </row>
    <row r="117" spans="1:26" x14ac:dyDescent="0.2">
      <c r="A117" t="s">
        <v>32</v>
      </c>
      <c r="B117">
        <v>600</v>
      </c>
      <c r="C117">
        <v>1.1592574918415549E+18</v>
      </c>
      <c r="D117" s="1">
        <f t="shared" si="15"/>
        <v>458.15888917019277</v>
      </c>
      <c r="E117" s="1">
        <v>3145887164240444</v>
      </c>
      <c r="F117" s="1">
        <f t="shared" si="16"/>
        <v>1.2276378007248496</v>
      </c>
      <c r="G117" s="1">
        <f t="shared" si="17"/>
        <v>459.3865269709176</v>
      </c>
      <c r="H117" s="1">
        <v>4.5302442590162598E+17</v>
      </c>
      <c r="I117" s="1">
        <f t="shared" si="18"/>
        <v>174.52950317033748</v>
      </c>
      <c r="J117">
        <v>6.2334061464172352E+17</v>
      </c>
      <c r="K117">
        <v>382.7</v>
      </c>
      <c r="L117">
        <v>6.2334061464172352E+17</v>
      </c>
      <c r="M117">
        <v>505.3</v>
      </c>
      <c r="N117" s="2">
        <f t="shared" si="19"/>
        <v>500.9245487254579</v>
      </c>
      <c r="O117" s="10">
        <v>68.900000000000006</v>
      </c>
      <c r="P117" s="8">
        <v>263.5</v>
      </c>
      <c r="Q117" s="8">
        <f>6.534*10^(17)</f>
        <v>6.534E+17</v>
      </c>
      <c r="R117" s="19">
        <v>68.900000000000006</v>
      </c>
      <c r="S117">
        <v>263.5</v>
      </c>
      <c r="T117">
        <f>6.534*10^(17)</f>
        <v>6.534E+17</v>
      </c>
      <c r="U117" s="10">
        <v>68.900000000000006</v>
      </c>
      <c r="V117" s="8">
        <v>263.5</v>
      </c>
      <c r="W117" s="8">
        <f>6.534*10^(17)</f>
        <v>6.534E+17</v>
      </c>
      <c r="X117" s="19">
        <v>68.900000000000006</v>
      </c>
      <c r="Y117" s="21">
        <v>263.5</v>
      </c>
      <c r="Z117" s="6">
        <f>6.534*10^(17)</f>
        <v>6.534E+17</v>
      </c>
    </row>
    <row r="118" spans="1:26" x14ac:dyDescent="0.2">
      <c r="A118" t="s">
        <v>32</v>
      </c>
      <c r="B118">
        <v>700</v>
      </c>
      <c r="C118">
        <v>1.3524670738151473E+18</v>
      </c>
      <c r="D118" s="1">
        <f t="shared" si="15"/>
        <v>534.5187040318915</v>
      </c>
      <c r="E118" s="1">
        <v>3670201691613851</v>
      </c>
      <c r="F118" s="1">
        <f t="shared" si="16"/>
        <v>1.4322441008456577</v>
      </c>
      <c r="G118" s="1">
        <f t="shared" si="17"/>
        <v>535.95094813273715</v>
      </c>
      <c r="H118" s="1">
        <v>5.2852849688522957E+17</v>
      </c>
      <c r="I118" s="1">
        <f t="shared" si="18"/>
        <v>203.61775369872677</v>
      </c>
      <c r="J118">
        <v>7.2723071708200922E+17</v>
      </c>
      <c r="K118">
        <v>383.1</v>
      </c>
      <c r="L118">
        <v>7.2723071708200922E+17</v>
      </c>
      <c r="M118">
        <v>569.70000000000005</v>
      </c>
      <c r="N118" s="2">
        <f t="shared" si="19"/>
        <v>584.41197351303413</v>
      </c>
      <c r="O118" s="10">
        <v>65.3</v>
      </c>
      <c r="P118" s="8">
        <v>259.89999999999998</v>
      </c>
      <c r="Q118" s="8">
        <f>7.624*10^(17)</f>
        <v>7.624E+17</v>
      </c>
      <c r="R118" s="19">
        <v>65.3</v>
      </c>
      <c r="S118">
        <v>259.89999999999998</v>
      </c>
      <c r="T118">
        <f>7.624*10^(17)</f>
        <v>7.624E+17</v>
      </c>
      <c r="U118" s="10">
        <v>65.3</v>
      </c>
      <c r="V118" s="8">
        <v>259.89999999999998</v>
      </c>
      <c r="W118" s="8">
        <f>7.624*10^(17)</f>
        <v>7.624E+17</v>
      </c>
      <c r="X118" s="19">
        <v>65.3</v>
      </c>
      <c r="Y118" s="21">
        <v>259.89999999999998</v>
      </c>
      <c r="Z118" s="6">
        <f>7.624*10^(17)</f>
        <v>7.624E+17</v>
      </c>
    </row>
    <row r="119" spans="1:26" x14ac:dyDescent="0.2">
      <c r="A119" t="s">
        <v>32</v>
      </c>
      <c r="B119">
        <v>800</v>
      </c>
      <c r="C119">
        <v>1.5456766557887396E+18</v>
      </c>
      <c r="D119" s="1">
        <f t="shared" si="15"/>
        <v>610.87851889359024</v>
      </c>
      <c r="E119" s="1">
        <v>4194516218987258</v>
      </c>
      <c r="F119" s="1">
        <f t="shared" si="16"/>
        <v>1.6368504009664659</v>
      </c>
      <c r="G119" s="1">
        <f t="shared" si="17"/>
        <v>612.51536929455665</v>
      </c>
      <c r="H119" s="1">
        <v>6.040325678688343E+17</v>
      </c>
      <c r="I119" s="1">
        <f t="shared" si="18"/>
        <v>232.70600422711652</v>
      </c>
      <c r="J119">
        <v>8.3112081952229734E+17</v>
      </c>
      <c r="K119">
        <v>383.5</v>
      </c>
      <c r="L119">
        <v>8.3112081952229734E+17</v>
      </c>
      <c r="M119">
        <v>629.6</v>
      </c>
      <c r="N119" s="2">
        <f t="shared" si="19"/>
        <v>667.89939830061041</v>
      </c>
      <c r="O119" s="10">
        <v>61</v>
      </c>
      <c r="P119" s="8">
        <v>254.1</v>
      </c>
      <c r="Q119" s="8">
        <f>8.713*10^(17)</f>
        <v>8.7129999999999987E+17</v>
      </c>
      <c r="R119" s="19">
        <v>61</v>
      </c>
      <c r="S119">
        <v>254.1</v>
      </c>
      <c r="T119">
        <f>8.713*10^(17)</f>
        <v>8.7129999999999987E+17</v>
      </c>
      <c r="U119" s="10">
        <v>61</v>
      </c>
      <c r="V119" s="8">
        <v>254.1</v>
      </c>
      <c r="W119" s="8">
        <f>8.713*10^(17)</f>
        <v>8.7129999999999987E+17</v>
      </c>
      <c r="X119" s="19">
        <v>61</v>
      </c>
      <c r="Y119" s="21">
        <v>254.1</v>
      </c>
      <c r="Z119" s="6">
        <f>8.713*10^(17)</f>
        <v>8.7129999999999987E+17</v>
      </c>
    </row>
    <row r="120" spans="1:26" x14ac:dyDescent="0.2">
      <c r="A120" t="s">
        <v>32</v>
      </c>
      <c r="B120">
        <v>900</v>
      </c>
      <c r="C120">
        <v>1.7388862377623322E+18</v>
      </c>
      <c r="D120" s="1">
        <f t="shared" si="15"/>
        <v>687.23833375528909</v>
      </c>
      <c r="E120" s="1">
        <v>4718830746360665</v>
      </c>
      <c r="F120" s="1">
        <f t="shared" si="16"/>
        <v>1.8414567010872738</v>
      </c>
      <c r="G120" s="1">
        <f t="shared" si="17"/>
        <v>689.07979045637637</v>
      </c>
      <c r="H120" s="1">
        <v>6.7953663885243789E+17</v>
      </c>
      <c r="I120" s="1">
        <f t="shared" si="18"/>
        <v>261.79425475550585</v>
      </c>
      <c r="J120">
        <v>9.3501092196258701E+17</v>
      </c>
      <c r="K120">
        <v>383.8</v>
      </c>
      <c r="L120">
        <v>9.3501092196258701E+17</v>
      </c>
      <c r="M120">
        <v>681.8</v>
      </c>
      <c r="N120" s="2">
        <f t="shared" si="19"/>
        <v>751.3868230881867</v>
      </c>
      <c r="O120" s="10">
        <v>57</v>
      </c>
      <c r="P120" s="8">
        <v>246.1</v>
      </c>
      <c r="Q120" s="8">
        <f>9.802*10^(17)</f>
        <v>9.802E+17</v>
      </c>
      <c r="R120" s="19">
        <v>57</v>
      </c>
      <c r="S120">
        <v>246.1</v>
      </c>
      <c r="T120">
        <f>9.802*10^(17)</f>
        <v>9.802E+17</v>
      </c>
      <c r="U120" s="10">
        <v>57</v>
      </c>
      <c r="V120" s="8">
        <f>246.1</f>
        <v>246.1</v>
      </c>
      <c r="W120" s="8">
        <f>9.802*10^(17)</f>
        <v>9.802E+17</v>
      </c>
      <c r="X120" s="19">
        <v>57</v>
      </c>
      <c r="Y120" s="21">
        <v>246.1</v>
      </c>
      <c r="Z120" s="6">
        <f>9.802*10^(17)</f>
        <v>9.802E+17</v>
      </c>
    </row>
    <row r="121" spans="1:26" s="3" customFormat="1" x14ac:dyDescent="0.2">
      <c r="A121" s="3" t="s">
        <v>32</v>
      </c>
      <c r="B121" s="3">
        <v>1000</v>
      </c>
      <c r="C121" s="3">
        <v>1.9320958197359247E+18</v>
      </c>
      <c r="D121" s="4">
        <f t="shared" si="15"/>
        <v>763.59814861698794</v>
      </c>
      <c r="E121" s="4">
        <v>5243145273734073</v>
      </c>
      <c r="F121" s="4">
        <f t="shared" si="16"/>
        <v>2.0460630012080827</v>
      </c>
      <c r="G121" s="4">
        <f t="shared" si="17"/>
        <v>765.64421161819598</v>
      </c>
      <c r="H121" s="4">
        <v>7.550407098360425E+17</v>
      </c>
      <c r="I121" s="4">
        <f t="shared" si="18"/>
        <v>290.88250528389551</v>
      </c>
      <c r="J121" s="3">
        <v>1.0389010244028696E+18</v>
      </c>
      <c r="K121" s="3">
        <v>384.1</v>
      </c>
      <c r="L121" s="3">
        <v>1.0389010244028696E+18</v>
      </c>
      <c r="M121" s="3">
        <v>726.3</v>
      </c>
      <c r="N121" s="5">
        <f t="shared" si="19"/>
        <v>834.8742478757631</v>
      </c>
      <c r="O121" s="11">
        <v>54.2</v>
      </c>
      <c r="P121" s="9">
        <v>236.2</v>
      </c>
      <c r="Q121" s="9">
        <f>1.089*10^(18)</f>
        <v>1.089E+18</v>
      </c>
      <c r="R121" s="20">
        <v>54.2</v>
      </c>
      <c r="S121" s="3">
        <v>236.2</v>
      </c>
      <c r="T121" s="3">
        <f>1.089*10^(18)</f>
        <v>1.089E+18</v>
      </c>
      <c r="U121" s="11">
        <v>54.2</v>
      </c>
      <c r="V121" s="9">
        <v>236.2</v>
      </c>
      <c r="W121" s="9">
        <f>1.089*10^(18)</f>
        <v>1.089E+18</v>
      </c>
      <c r="X121" s="20">
        <v>54.2</v>
      </c>
      <c r="Y121" s="3">
        <v>236.2</v>
      </c>
      <c r="Z121" s="7">
        <f>1.089*10^(18)</f>
        <v>1.089E+18</v>
      </c>
    </row>
  </sheetData>
  <sortState xmlns:xlrd2="http://schemas.microsoft.com/office/spreadsheetml/2017/richdata2" ref="A2:N121">
    <sortCondition ref="A2:A12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barrapeak</dc:creator>
  <cp:lastModifiedBy>Barra Peak</cp:lastModifiedBy>
  <dcterms:created xsi:type="dcterms:W3CDTF">2025-09-29T20:59:31Z</dcterms:created>
  <dcterms:modified xsi:type="dcterms:W3CDTF">2026-01-29T18:17:43Z</dcterms:modified>
</cp:coreProperties>
</file>