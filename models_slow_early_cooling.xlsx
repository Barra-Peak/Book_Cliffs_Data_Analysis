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LaCie/Book_Cliffs_FM_2026.01.28/"/>
    </mc:Choice>
  </mc:AlternateContent>
  <xr:revisionPtr revIDLastSave="0" documentId="13_ncr:1_{876253D2-9DBF-4644-B087-9F017D7814F9}" xr6:coauthVersionLast="47" xr6:coauthVersionMax="47" xr10:uidLastSave="{00000000-0000-0000-0000-000000000000}"/>
  <bookViews>
    <workbookView xWindow="1160" yWindow="500" windowWidth="27640" windowHeight="16080" xr2:uid="{12594464-C8FC-4A4E-A529-97196C508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C74" i="1"/>
  <c r="C64" i="1"/>
  <c r="C65" i="1" s="1"/>
  <c r="C54" i="1"/>
  <c r="C55" i="1" s="1"/>
  <c r="C46" i="1"/>
  <c r="C47" i="1" s="1"/>
  <c r="C95" i="1"/>
  <c r="C96" i="1" s="1"/>
  <c r="C93" i="1"/>
  <c r="C94" i="1" s="1"/>
  <c r="C82" i="1"/>
  <c r="C83" i="1" s="1"/>
  <c r="C62" i="1"/>
  <c r="C72" i="1"/>
  <c r="C36" i="1"/>
  <c r="C37" i="1" s="1"/>
  <c r="C38" i="1" s="1"/>
  <c r="C26" i="1"/>
  <c r="C27" i="1" s="1"/>
  <c r="C28" i="1" s="1"/>
  <c r="C15" i="1"/>
  <c r="C16" i="1" s="1"/>
  <c r="C4" i="1"/>
  <c r="C5" i="1" s="1"/>
  <c r="C6" i="1" s="1"/>
  <c r="C7" i="1" s="1"/>
  <c r="C97" i="1" l="1"/>
  <c r="C75" i="1"/>
  <c r="C29" i="1"/>
  <c r="C8" i="1"/>
  <c r="C39" i="1"/>
  <c r="C17" i="1"/>
  <c r="C18" i="1" s="1"/>
  <c r="C86" i="1" l="1"/>
  <c r="C19" i="1"/>
</calcChain>
</file>

<file path=xl/sharedStrings.xml><?xml version="1.0" encoding="utf-8"?>
<sst xmlns="http://schemas.openxmlformats.org/spreadsheetml/2006/main" count="306" uniqueCount="31">
  <si>
    <t>Path.Name</t>
  </si>
  <si>
    <t>Time</t>
  </si>
  <si>
    <t>Temp</t>
  </si>
  <si>
    <t>Stage</t>
  </si>
  <si>
    <t>Crystallization</t>
  </si>
  <si>
    <t>Constrained by Data</t>
  </si>
  <si>
    <t>Yes</t>
  </si>
  <si>
    <t>No</t>
  </si>
  <si>
    <t>End Passive Margin</t>
  </si>
  <si>
    <t>Begin Rift Margin</t>
  </si>
  <si>
    <t>End Rift Margin/Begin Passive Margent</t>
  </si>
  <si>
    <t>Oldest book Cliffs seds</t>
  </si>
  <si>
    <t>Surface at present</t>
  </si>
  <si>
    <t>min temp</t>
  </si>
  <si>
    <t>End Oquirrh Grp</t>
  </si>
  <si>
    <t>Oquirrh Gp start dep</t>
  </si>
  <si>
    <t>Detrital Ahe</t>
  </si>
  <si>
    <t>End Book Cliffs Seds</t>
  </si>
  <si>
    <t>close to max temp</t>
  </si>
  <si>
    <t>Notes</t>
  </si>
  <si>
    <t>End Jurassic burial</t>
  </si>
  <si>
    <t>2_min</t>
  </si>
  <si>
    <t>2_max</t>
  </si>
  <si>
    <t>3_min</t>
  </si>
  <si>
    <t>3_max</t>
  </si>
  <si>
    <t>1a_min</t>
  </si>
  <si>
    <t>1a_max</t>
  </si>
  <si>
    <t>1b_min</t>
  </si>
  <si>
    <t>1b_max</t>
  </si>
  <si>
    <t>1c_min</t>
  </si>
  <si>
    <t>1c_max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</si>
</sst>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BCD2-127F-C54F-B6FF-0BCC94B33965}">
  <dimension ref="A1:F101"/>
  <sheetViews>
    <sheetView tabSelected="1" topLeftCell="A73" workbookViewId="0">
      <selection activeCell="A92" sqref="A92:XFD92"/>
    </sheetView>
  </sheetViews>
  <sheetFormatPr baseColWidth="10" defaultRowHeight="16" x14ac:dyDescent="0.2"/>
  <cols>
    <col min="4" max="4" width="30.6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19</v>
      </c>
    </row>
    <row r="2" spans="1:6" x14ac:dyDescent="0.2">
      <c r="A2" t="s">
        <v>23</v>
      </c>
      <c r="B2">
        <v>1200</v>
      </c>
      <c r="C2">
        <v>1000</v>
      </c>
      <c r="D2" t="s">
        <v>4</v>
      </c>
      <c r="E2" t="s">
        <v>6</v>
      </c>
    </row>
    <row r="3" spans="1:6" x14ac:dyDescent="0.2">
      <c r="A3" t="s">
        <v>23</v>
      </c>
      <c r="B3">
        <v>900</v>
      </c>
      <c r="C3">
        <v>25</v>
      </c>
      <c r="D3" t="s">
        <v>9</v>
      </c>
      <c r="E3" t="s">
        <v>7</v>
      </c>
    </row>
    <row r="4" spans="1:6" x14ac:dyDescent="0.2">
      <c r="A4" t="s">
        <v>23</v>
      </c>
      <c r="B4" s="2">
        <v>542</v>
      </c>
      <c r="C4" s="2">
        <f>C3+((10-7)*39)</f>
        <v>142</v>
      </c>
      <c r="D4" s="2" t="s">
        <v>10</v>
      </c>
      <c r="E4" s="2" t="s">
        <v>18</v>
      </c>
    </row>
    <row r="5" spans="1:6" x14ac:dyDescent="0.2">
      <c r="A5" t="s">
        <v>23</v>
      </c>
      <c r="B5">
        <v>388</v>
      </c>
      <c r="C5">
        <f>C4+(10*35)</f>
        <v>492</v>
      </c>
      <c r="D5" t="s">
        <v>8</v>
      </c>
      <c r="E5" t="s">
        <v>13</v>
      </c>
    </row>
    <row r="6" spans="1:6" x14ac:dyDescent="0.2">
      <c r="A6" t="s">
        <v>23</v>
      </c>
      <c r="B6">
        <v>323</v>
      </c>
      <c r="C6">
        <f>C5</f>
        <v>492</v>
      </c>
      <c r="D6" t="s">
        <v>15</v>
      </c>
      <c r="E6" t="s">
        <v>7</v>
      </c>
    </row>
    <row r="7" spans="1:6" x14ac:dyDescent="0.2">
      <c r="A7" t="s">
        <v>23</v>
      </c>
      <c r="B7">
        <v>275</v>
      </c>
      <c r="C7">
        <f>(10*32)+C6</f>
        <v>812</v>
      </c>
      <c r="D7" t="s">
        <v>14</v>
      </c>
      <c r="E7" t="s">
        <v>13</v>
      </c>
    </row>
    <row r="8" spans="1:6" x14ac:dyDescent="0.2">
      <c r="A8" t="s">
        <v>23</v>
      </c>
      <c r="B8">
        <v>145</v>
      </c>
      <c r="C8">
        <f>C7</f>
        <v>812</v>
      </c>
      <c r="D8" t="s">
        <v>20</v>
      </c>
      <c r="E8" t="s">
        <v>13</v>
      </c>
    </row>
    <row r="9" spans="1:6" x14ac:dyDescent="0.2">
      <c r="A9" t="s">
        <v>23</v>
      </c>
      <c r="B9">
        <v>96</v>
      </c>
      <c r="C9">
        <v>25</v>
      </c>
      <c r="D9" t="s">
        <v>11</v>
      </c>
      <c r="E9" t="s">
        <v>6</v>
      </c>
    </row>
    <row r="10" spans="1:6" x14ac:dyDescent="0.2">
      <c r="A10" t="s">
        <v>23</v>
      </c>
      <c r="B10">
        <v>67</v>
      </c>
      <c r="C10">
        <v>175</v>
      </c>
      <c r="D10" t="s">
        <v>17</v>
      </c>
      <c r="E10" t="s">
        <v>6</v>
      </c>
    </row>
    <row r="11" spans="1:6" x14ac:dyDescent="0.2">
      <c r="A11" t="s">
        <v>23</v>
      </c>
      <c r="B11">
        <v>6</v>
      </c>
      <c r="C11">
        <v>70</v>
      </c>
      <c r="D11" t="s">
        <v>16</v>
      </c>
      <c r="E11" t="s">
        <v>6</v>
      </c>
    </row>
    <row r="12" spans="1:6" x14ac:dyDescent="0.2">
      <c r="A12" t="s">
        <v>23</v>
      </c>
      <c r="B12">
        <v>0</v>
      </c>
      <c r="C12">
        <v>25</v>
      </c>
      <c r="D12" t="s">
        <v>12</v>
      </c>
      <c r="E12" t="s">
        <v>6</v>
      </c>
    </row>
    <row r="13" spans="1:6" x14ac:dyDescent="0.2">
      <c r="A13" t="s">
        <v>24</v>
      </c>
      <c r="B13">
        <v>1200</v>
      </c>
      <c r="C13">
        <v>1000</v>
      </c>
      <c r="D13" t="s">
        <v>4</v>
      </c>
      <c r="E13" t="s">
        <v>6</v>
      </c>
    </row>
    <row r="14" spans="1:6" x14ac:dyDescent="0.2">
      <c r="A14" t="s">
        <v>24</v>
      </c>
      <c r="B14">
        <v>900</v>
      </c>
      <c r="C14">
        <v>25</v>
      </c>
      <c r="D14" t="s">
        <v>9</v>
      </c>
      <c r="E14" t="s">
        <v>7</v>
      </c>
    </row>
    <row r="15" spans="1:6" x14ac:dyDescent="0.2">
      <c r="A15" t="s">
        <v>24</v>
      </c>
      <c r="B15" s="2">
        <v>542</v>
      </c>
      <c r="C15" s="2">
        <f>C14+((14-7)*39)</f>
        <v>298</v>
      </c>
      <c r="D15" s="2" t="s">
        <v>10</v>
      </c>
      <c r="E15" s="2" t="s">
        <v>18</v>
      </c>
    </row>
    <row r="16" spans="1:6" x14ac:dyDescent="0.2">
      <c r="A16" t="s">
        <v>24</v>
      </c>
      <c r="B16">
        <v>388</v>
      </c>
      <c r="C16">
        <f>C15+(14*35)</f>
        <v>788</v>
      </c>
      <c r="D16" t="s">
        <v>8</v>
      </c>
      <c r="E16" t="s">
        <v>13</v>
      </c>
    </row>
    <row r="17" spans="1:5" x14ac:dyDescent="0.2">
      <c r="A17" t="s">
        <v>24</v>
      </c>
      <c r="B17">
        <v>323</v>
      </c>
      <c r="C17">
        <f>C16</f>
        <v>788</v>
      </c>
      <c r="D17" t="s">
        <v>15</v>
      </c>
      <c r="E17" t="s">
        <v>7</v>
      </c>
    </row>
    <row r="18" spans="1:5" x14ac:dyDescent="0.2">
      <c r="A18" t="s">
        <v>24</v>
      </c>
      <c r="B18">
        <v>275</v>
      </c>
      <c r="C18">
        <f>(14*32)+C17</f>
        <v>1236</v>
      </c>
      <c r="D18" t="s">
        <v>14</v>
      </c>
      <c r="E18" t="s">
        <v>13</v>
      </c>
    </row>
    <row r="19" spans="1:5" x14ac:dyDescent="0.2">
      <c r="A19" t="s">
        <v>24</v>
      </c>
      <c r="B19">
        <v>145</v>
      </c>
      <c r="C19">
        <f>C18</f>
        <v>1236</v>
      </c>
      <c r="D19" t="s">
        <v>20</v>
      </c>
      <c r="E19" t="s">
        <v>13</v>
      </c>
    </row>
    <row r="20" spans="1:5" x14ac:dyDescent="0.2">
      <c r="A20" t="s">
        <v>24</v>
      </c>
      <c r="B20">
        <v>96</v>
      </c>
      <c r="C20">
        <v>25</v>
      </c>
      <c r="D20" t="s">
        <v>11</v>
      </c>
      <c r="E20" t="s">
        <v>6</v>
      </c>
    </row>
    <row r="21" spans="1:5" x14ac:dyDescent="0.2">
      <c r="A21" t="s">
        <v>24</v>
      </c>
      <c r="B21">
        <v>67</v>
      </c>
      <c r="C21">
        <v>175</v>
      </c>
      <c r="D21" t="s">
        <v>17</v>
      </c>
      <c r="E21" t="s">
        <v>6</v>
      </c>
    </row>
    <row r="22" spans="1:5" x14ac:dyDescent="0.2">
      <c r="A22" t="s">
        <v>24</v>
      </c>
      <c r="B22">
        <v>6</v>
      </c>
      <c r="C22">
        <v>70</v>
      </c>
      <c r="D22" t="s">
        <v>16</v>
      </c>
      <c r="E22" t="s">
        <v>6</v>
      </c>
    </row>
    <row r="23" spans="1:5" x14ac:dyDescent="0.2">
      <c r="A23" t="s">
        <v>24</v>
      </c>
      <c r="B23">
        <v>0</v>
      </c>
      <c r="C23">
        <v>25</v>
      </c>
      <c r="D23" t="s">
        <v>12</v>
      </c>
      <c r="E23" t="s">
        <v>6</v>
      </c>
    </row>
    <row r="24" spans="1:5" x14ac:dyDescent="0.2">
      <c r="A24" t="s">
        <v>21</v>
      </c>
      <c r="B24">
        <v>1200</v>
      </c>
      <c r="C24">
        <v>1000</v>
      </c>
      <c r="D24" t="s">
        <v>4</v>
      </c>
      <c r="E24" t="s">
        <v>6</v>
      </c>
    </row>
    <row r="25" spans="1:5" x14ac:dyDescent="0.2">
      <c r="A25" t="s">
        <v>21</v>
      </c>
      <c r="B25" s="2">
        <v>542</v>
      </c>
      <c r="C25" s="2">
        <v>25</v>
      </c>
      <c r="D25" s="2" t="s">
        <v>10</v>
      </c>
      <c r="E25" s="2" t="s">
        <v>18</v>
      </c>
    </row>
    <row r="26" spans="1:5" x14ac:dyDescent="0.2">
      <c r="A26" t="s">
        <v>21</v>
      </c>
      <c r="B26">
        <v>388</v>
      </c>
      <c r="C26">
        <f>C25+((10-7)*35)</f>
        <v>130</v>
      </c>
      <c r="D26" t="s">
        <v>8</v>
      </c>
      <c r="E26" t="s">
        <v>13</v>
      </c>
    </row>
    <row r="27" spans="1:5" x14ac:dyDescent="0.2">
      <c r="A27" t="s">
        <v>21</v>
      </c>
      <c r="B27">
        <v>323</v>
      </c>
      <c r="C27">
        <f>C26</f>
        <v>130</v>
      </c>
      <c r="D27" t="s">
        <v>15</v>
      </c>
      <c r="E27" t="s">
        <v>7</v>
      </c>
    </row>
    <row r="28" spans="1:5" x14ac:dyDescent="0.2">
      <c r="A28" t="s">
        <v>21</v>
      </c>
      <c r="B28">
        <v>275</v>
      </c>
      <c r="C28">
        <f>(10*32)+C27</f>
        <v>450</v>
      </c>
      <c r="D28" t="s">
        <v>14</v>
      </c>
      <c r="E28" t="s">
        <v>13</v>
      </c>
    </row>
    <row r="29" spans="1:5" x14ac:dyDescent="0.2">
      <c r="A29" t="s">
        <v>21</v>
      </c>
      <c r="B29">
        <v>145</v>
      </c>
      <c r="C29">
        <f>C28</f>
        <v>450</v>
      </c>
      <c r="D29" t="s">
        <v>20</v>
      </c>
      <c r="E29" t="s">
        <v>13</v>
      </c>
    </row>
    <row r="30" spans="1:5" x14ac:dyDescent="0.2">
      <c r="A30" t="s">
        <v>21</v>
      </c>
      <c r="B30">
        <v>96</v>
      </c>
      <c r="C30">
        <v>25</v>
      </c>
      <c r="D30" t="s">
        <v>11</v>
      </c>
      <c r="E30" t="s">
        <v>6</v>
      </c>
    </row>
    <row r="31" spans="1:5" x14ac:dyDescent="0.2">
      <c r="A31" t="s">
        <v>21</v>
      </c>
      <c r="B31">
        <v>67</v>
      </c>
      <c r="C31">
        <v>175</v>
      </c>
      <c r="D31" t="s">
        <v>17</v>
      </c>
      <c r="E31" t="s">
        <v>6</v>
      </c>
    </row>
    <row r="32" spans="1:5" x14ac:dyDescent="0.2">
      <c r="A32" t="s">
        <v>21</v>
      </c>
      <c r="B32">
        <v>6</v>
      </c>
      <c r="C32">
        <v>70</v>
      </c>
      <c r="D32" t="s">
        <v>16</v>
      </c>
      <c r="E32" t="s">
        <v>6</v>
      </c>
    </row>
    <row r="33" spans="1:5" x14ac:dyDescent="0.2">
      <c r="A33" t="s">
        <v>21</v>
      </c>
      <c r="B33">
        <v>0</v>
      </c>
      <c r="C33">
        <v>25</v>
      </c>
      <c r="D33" t="s">
        <v>12</v>
      </c>
      <c r="E33" t="s">
        <v>6</v>
      </c>
    </row>
    <row r="34" spans="1:5" x14ac:dyDescent="0.2">
      <c r="A34" t="s">
        <v>22</v>
      </c>
      <c r="B34">
        <v>1200</v>
      </c>
      <c r="C34">
        <v>1000</v>
      </c>
      <c r="D34" t="s">
        <v>4</v>
      </c>
      <c r="E34" t="s">
        <v>6</v>
      </c>
    </row>
    <row r="35" spans="1:5" x14ac:dyDescent="0.2">
      <c r="A35" t="s">
        <v>22</v>
      </c>
      <c r="B35" s="2">
        <v>542</v>
      </c>
      <c r="C35" s="2">
        <v>25</v>
      </c>
      <c r="D35" s="2" t="s">
        <v>10</v>
      </c>
      <c r="E35" s="2" t="s">
        <v>18</v>
      </c>
    </row>
    <row r="36" spans="1:5" x14ac:dyDescent="0.2">
      <c r="A36" t="s">
        <v>22</v>
      </c>
      <c r="B36">
        <v>388</v>
      </c>
      <c r="C36">
        <f>C35+((14-7)*35)</f>
        <v>270</v>
      </c>
      <c r="D36" t="s">
        <v>8</v>
      </c>
      <c r="E36" t="s">
        <v>13</v>
      </c>
    </row>
    <row r="37" spans="1:5" x14ac:dyDescent="0.2">
      <c r="A37" t="s">
        <v>22</v>
      </c>
      <c r="B37">
        <v>323</v>
      </c>
      <c r="C37">
        <f>C36</f>
        <v>270</v>
      </c>
      <c r="D37" t="s">
        <v>15</v>
      </c>
      <c r="E37" t="s">
        <v>7</v>
      </c>
    </row>
    <row r="38" spans="1:5" x14ac:dyDescent="0.2">
      <c r="A38" t="s">
        <v>22</v>
      </c>
      <c r="B38">
        <v>275</v>
      </c>
      <c r="C38">
        <f>(14*32)+C37</f>
        <v>718</v>
      </c>
      <c r="D38" t="s">
        <v>14</v>
      </c>
      <c r="E38" t="s">
        <v>13</v>
      </c>
    </row>
    <row r="39" spans="1:5" x14ac:dyDescent="0.2">
      <c r="A39" t="s">
        <v>22</v>
      </c>
      <c r="B39">
        <v>145</v>
      </c>
      <c r="C39">
        <f>C38</f>
        <v>718</v>
      </c>
      <c r="D39" t="s">
        <v>20</v>
      </c>
      <c r="E39" t="s">
        <v>13</v>
      </c>
    </row>
    <row r="40" spans="1:5" x14ac:dyDescent="0.2">
      <c r="A40" t="s">
        <v>22</v>
      </c>
      <c r="B40">
        <v>96</v>
      </c>
      <c r="C40">
        <v>25</v>
      </c>
      <c r="D40" t="s">
        <v>11</v>
      </c>
      <c r="E40" t="s">
        <v>6</v>
      </c>
    </row>
    <row r="41" spans="1:5" x14ac:dyDescent="0.2">
      <c r="A41" t="s">
        <v>22</v>
      </c>
      <c r="B41">
        <v>67</v>
      </c>
      <c r="C41">
        <v>175</v>
      </c>
      <c r="D41" t="s">
        <v>17</v>
      </c>
      <c r="E41" t="s">
        <v>6</v>
      </c>
    </row>
    <row r="42" spans="1:5" x14ac:dyDescent="0.2">
      <c r="A42" t="s">
        <v>22</v>
      </c>
      <c r="B42">
        <v>6</v>
      </c>
      <c r="C42">
        <v>70</v>
      </c>
      <c r="D42" t="s">
        <v>16</v>
      </c>
      <c r="E42" t="s">
        <v>6</v>
      </c>
    </row>
    <row r="43" spans="1:5" x14ac:dyDescent="0.2">
      <c r="A43" t="s">
        <v>22</v>
      </c>
      <c r="B43">
        <v>0</v>
      </c>
      <c r="C43">
        <v>25</v>
      </c>
      <c r="D43" t="s">
        <v>12</v>
      </c>
      <c r="E43" t="s">
        <v>6</v>
      </c>
    </row>
    <row r="44" spans="1:5" x14ac:dyDescent="0.2">
      <c r="A44" s="2" t="s">
        <v>25</v>
      </c>
      <c r="B44" s="2">
        <v>1200</v>
      </c>
      <c r="C44" s="2">
        <v>1000</v>
      </c>
      <c r="D44" s="2" t="s">
        <v>4</v>
      </c>
      <c r="E44" s="2" t="s">
        <v>6</v>
      </c>
    </row>
    <row r="45" spans="1:5" x14ac:dyDescent="0.2">
      <c r="A45" s="2" t="s">
        <v>25</v>
      </c>
      <c r="B45" s="2">
        <v>323</v>
      </c>
      <c r="C45" s="2">
        <v>25</v>
      </c>
      <c r="D45" s="2" t="s">
        <v>15</v>
      </c>
      <c r="E45" s="2" t="s">
        <v>7</v>
      </c>
    </row>
    <row r="46" spans="1:5" x14ac:dyDescent="0.2">
      <c r="A46" s="2" t="s">
        <v>25</v>
      </c>
      <c r="B46" s="2">
        <v>275</v>
      </c>
      <c r="C46" s="2">
        <f>((10-7)*32)+C45</f>
        <v>121</v>
      </c>
      <c r="D46" s="2" t="s">
        <v>14</v>
      </c>
      <c r="E46" s="2" t="s">
        <v>13</v>
      </c>
    </row>
    <row r="47" spans="1:5" x14ac:dyDescent="0.2">
      <c r="A47" s="2" t="s">
        <v>25</v>
      </c>
      <c r="B47" s="2">
        <v>145</v>
      </c>
      <c r="C47" s="2">
        <f>C46</f>
        <v>121</v>
      </c>
      <c r="D47" s="2" t="s">
        <v>20</v>
      </c>
      <c r="E47" s="2" t="s">
        <v>13</v>
      </c>
    </row>
    <row r="48" spans="1:5" x14ac:dyDescent="0.2">
      <c r="A48" s="2" t="s">
        <v>25</v>
      </c>
      <c r="B48" s="2">
        <v>96</v>
      </c>
      <c r="C48" s="2">
        <v>25</v>
      </c>
      <c r="D48" s="2" t="s">
        <v>11</v>
      </c>
      <c r="E48" s="2" t="s">
        <v>6</v>
      </c>
    </row>
    <row r="49" spans="1:5" x14ac:dyDescent="0.2">
      <c r="A49" s="2" t="s">
        <v>25</v>
      </c>
      <c r="B49" s="2">
        <v>67</v>
      </c>
      <c r="C49" s="2">
        <v>175</v>
      </c>
      <c r="D49" s="2" t="s">
        <v>17</v>
      </c>
      <c r="E49" s="2" t="s">
        <v>6</v>
      </c>
    </row>
    <row r="50" spans="1:5" x14ac:dyDescent="0.2">
      <c r="A50" s="2" t="s">
        <v>25</v>
      </c>
      <c r="B50" s="2">
        <v>6</v>
      </c>
      <c r="C50" s="2">
        <v>70</v>
      </c>
      <c r="D50" s="2" t="s">
        <v>16</v>
      </c>
      <c r="E50" s="2" t="s">
        <v>6</v>
      </c>
    </row>
    <row r="51" spans="1:5" x14ac:dyDescent="0.2">
      <c r="A51" s="2" t="s">
        <v>25</v>
      </c>
      <c r="B51" s="2">
        <v>0</v>
      </c>
      <c r="C51" s="2">
        <v>25</v>
      </c>
      <c r="D51" s="2" t="s">
        <v>12</v>
      </c>
      <c r="E51" s="2" t="s">
        <v>6</v>
      </c>
    </row>
    <row r="52" spans="1:5" x14ac:dyDescent="0.2">
      <c r="A52" s="2" t="s">
        <v>26</v>
      </c>
      <c r="B52" s="2">
        <v>1200</v>
      </c>
      <c r="C52" s="2">
        <v>1000</v>
      </c>
      <c r="D52" s="2" t="s">
        <v>4</v>
      </c>
      <c r="E52" s="2" t="s">
        <v>6</v>
      </c>
    </row>
    <row r="53" spans="1:5" x14ac:dyDescent="0.2">
      <c r="A53" s="2" t="s">
        <v>26</v>
      </c>
      <c r="B53" s="2">
        <v>323</v>
      </c>
      <c r="C53" s="2">
        <v>25</v>
      </c>
      <c r="D53" s="2" t="s">
        <v>15</v>
      </c>
      <c r="E53" s="2" t="s">
        <v>7</v>
      </c>
    </row>
    <row r="54" spans="1:5" x14ac:dyDescent="0.2">
      <c r="A54" s="2" t="s">
        <v>26</v>
      </c>
      <c r="B54" s="2">
        <v>275</v>
      </c>
      <c r="C54" s="2">
        <f>((14-7)*32)+C53</f>
        <v>249</v>
      </c>
      <c r="D54" s="2" t="s">
        <v>14</v>
      </c>
      <c r="E54" s="2" t="s">
        <v>13</v>
      </c>
    </row>
    <row r="55" spans="1:5" x14ac:dyDescent="0.2">
      <c r="A55" s="2" t="s">
        <v>26</v>
      </c>
      <c r="B55" s="2">
        <v>145</v>
      </c>
      <c r="C55" s="2">
        <f>C54</f>
        <v>249</v>
      </c>
      <c r="D55" s="2" t="s">
        <v>20</v>
      </c>
      <c r="E55" s="2" t="s">
        <v>13</v>
      </c>
    </row>
    <row r="56" spans="1:5" x14ac:dyDescent="0.2">
      <c r="A56" s="2" t="s">
        <v>26</v>
      </c>
      <c r="B56" s="2">
        <v>96</v>
      </c>
      <c r="C56" s="2">
        <v>25</v>
      </c>
      <c r="D56" s="2" t="s">
        <v>11</v>
      </c>
      <c r="E56" s="2" t="s">
        <v>6</v>
      </c>
    </row>
    <row r="57" spans="1:5" x14ac:dyDescent="0.2">
      <c r="A57" s="2" t="s">
        <v>26</v>
      </c>
      <c r="B57" s="2">
        <v>67</v>
      </c>
      <c r="C57" s="2">
        <v>175</v>
      </c>
      <c r="D57" s="2" t="s">
        <v>17</v>
      </c>
      <c r="E57" s="2" t="s">
        <v>6</v>
      </c>
    </row>
    <row r="58" spans="1:5" x14ac:dyDescent="0.2">
      <c r="A58" s="2" t="s">
        <v>26</v>
      </c>
      <c r="B58" s="2">
        <v>6</v>
      </c>
      <c r="C58" s="2">
        <v>70</v>
      </c>
      <c r="D58" s="2" t="s">
        <v>16</v>
      </c>
      <c r="E58" s="2" t="s">
        <v>6</v>
      </c>
    </row>
    <row r="59" spans="1:5" x14ac:dyDescent="0.2">
      <c r="A59" s="2" t="s">
        <v>26</v>
      </c>
      <c r="B59" s="2">
        <v>0</v>
      </c>
      <c r="C59" s="2">
        <v>25</v>
      </c>
      <c r="D59" s="2" t="s">
        <v>12</v>
      </c>
      <c r="E59" s="2" t="s">
        <v>6</v>
      </c>
    </row>
    <row r="60" spans="1:5" x14ac:dyDescent="0.2">
      <c r="A60" t="s">
        <v>27</v>
      </c>
      <c r="B60">
        <v>1200</v>
      </c>
      <c r="C60">
        <v>1000</v>
      </c>
      <c r="D60" t="s">
        <v>4</v>
      </c>
      <c r="E60" t="s">
        <v>6</v>
      </c>
    </row>
    <row r="61" spans="1:5" x14ac:dyDescent="0.2">
      <c r="A61" t="s">
        <v>27</v>
      </c>
      <c r="B61" s="2">
        <v>542</v>
      </c>
      <c r="C61" s="2">
        <v>25</v>
      </c>
      <c r="D61" s="2" t="s">
        <v>10</v>
      </c>
      <c r="E61" s="2" t="s">
        <v>18</v>
      </c>
    </row>
    <row r="62" spans="1:5" x14ac:dyDescent="0.2">
      <c r="A62" t="s">
        <v>27</v>
      </c>
      <c r="B62">
        <v>388</v>
      </c>
      <c r="C62">
        <f>C61+((10-7)*35)</f>
        <v>130</v>
      </c>
      <c r="D62" t="s">
        <v>8</v>
      </c>
      <c r="E62" t="s">
        <v>13</v>
      </c>
    </row>
    <row r="63" spans="1:5" x14ac:dyDescent="0.2">
      <c r="A63" t="s">
        <v>27</v>
      </c>
      <c r="B63">
        <v>323</v>
      </c>
      <c r="C63">
        <v>25</v>
      </c>
      <c r="D63" t="s">
        <v>15</v>
      </c>
      <c r="E63" t="s">
        <v>7</v>
      </c>
    </row>
    <row r="64" spans="1:5" x14ac:dyDescent="0.2">
      <c r="A64" t="s">
        <v>27</v>
      </c>
      <c r="B64">
        <v>275</v>
      </c>
      <c r="C64">
        <f>((10-7)*32)+C63</f>
        <v>121</v>
      </c>
      <c r="D64" t="s">
        <v>14</v>
      </c>
      <c r="E64" t="s">
        <v>13</v>
      </c>
    </row>
    <row r="65" spans="1:5" x14ac:dyDescent="0.2">
      <c r="A65" t="s">
        <v>27</v>
      </c>
      <c r="B65">
        <v>145</v>
      </c>
      <c r="C65">
        <f>C64</f>
        <v>121</v>
      </c>
      <c r="D65" t="s">
        <v>20</v>
      </c>
      <c r="E65" t="s">
        <v>13</v>
      </c>
    </row>
    <row r="66" spans="1:5" x14ac:dyDescent="0.2">
      <c r="A66" t="s">
        <v>27</v>
      </c>
      <c r="B66">
        <v>96</v>
      </c>
      <c r="C66">
        <v>25</v>
      </c>
      <c r="D66" t="s">
        <v>11</v>
      </c>
      <c r="E66" t="s">
        <v>6</v>
      </c>
    </row>
    <row r="67" spans="1:5" x14ac:dyDescent="0.2">
      <c r="A67" t="s">
        <v>27</v>
      </c>
      <c r="B67">
        <v>67</v>
      </c>
      <c r="C67">
        <v>175</v>
      </c>
      <c r="D67" t="s">
        <v>17</v>
      </c>
      <c r="E67" t="s">
        <v>6</v>
      </c>
    </row>
    <row r="68" spans="1:5" x14ac:dyDescent="0.2">
      <c r="A68" t="s">
        <v>27</v>
      </c>
      <c r="B68">
        <v>6</v>
      </c>
      <c r="C68">
        <v>70</v>
      </c>
      <c r="D68" t="s">
        <v>16</v>
      </c>
      <c r="E68" t="s">
        <v>6</v>
      </c>
    </row>
    <row r="69" spans="1:5" x14ac:dyDescent="0.2">
      <c r="A69" t="s">
        <v>27</v>
      </c>
      <c r="B69">
        <v>0</v>
      </c>
      <c r="C69">
        <v>25</v>
      </c>
      <c r="D69" t="s">
        <v>12</v>
      </c>
      <c r="E69" t="s">
        <v>6</v>
      </c>
    </row>
    <row r="70" spans="1:5" x14ac:dyDescent="0.2">
      <c r="A70" t="s">
        <v>28</v>
      </c>
      <c r="B70">
        <v>1200</v>
      </c>
      <c r="C70">
        <v>1000</v>
      </c>
      <c r="D70" t="s">
        <v>4</v>
      </c>
      <c r="E70" t="s">
        <v>6</v>
      </c>
    </row>
    <row r="71" spans="1:5" x14ac:dyDescent="0.2">
      <c r="A71" t="s">
        <v>28</v>
      </c>
      <c r="B71" s="2">
        <v>542</v>
      </c>
      <c r="C71" s="2">
        <v>25</v>
      </c>
      <c r="D71" s="2" t="s">
        <v>10</v>
      </c>
      <c r="E71" s="2" t="s">
        <v>18</v>
      </c>
    </row>
    <row r="72" spans="1:5" x14ac:dyDescent="0.2">
      <c r="A72" t="s">
        <v>28</v>
      </c>
      <c r="B72">
        <v>388</v>
      </c>
      <c r="C72">
        <f>C71+((14-7)*35)</f>
        <v>270</v>
      </c>
      <c r="D72" t="s">
        <v>8</v>
      </c>
      <c r="E72" t="s">
        <v>13</v>
      </c>
    </row>
    <row r="73" spans="1:5" x14ac:dyDescent="0.2">
      <c r="A73" t="s">
        <v>28</v>
      </c>
      <c r="B73">
        <v>323</v>
      </c>
      <c r="C73">
        <v>25</v>
      </c>
      <c r="D73" t="s">
        <v>15</v>
      </c>
      <c r="E73" t="s">
        <v>7</v>
      </c>
    </row>
    <row r="74" spans="1:5" x14ac:dyDescent="0.2">
      <c r="A74" t="s">
        <v>28</v>
      </c>
      <c r="B74">
        <v>275</v>
      </c>
      <c r="C74">
        <f>((14-7)*32)+C73</f>
        <v>249</v>
      </c>
      <c r="D74" t="s">
        <v>14</v>
      </c>
      <c r="E74" t="s">
        <v>13</v>
      </c>
    </row>
    <row r="75" spans="1:5" x14ac:dyDescent="0.2">
      <c r="A75" t="s">
        <v>28</v>
      </c>
      <c r="B75">
        <v>145</v>
      </c>
      <c r="C75">
        <f>C74</f>
        <v>249</v>
      </c>
      <c r="D75" t="s">
        <v>20</v>
      </c>
      <c r="E75" t="s">
        <v>13</v>
      </c>
    </row>
    <row r="76" spans="1:5" x14ac:dyDescent="0.2">
      <c r="A76" t="s">
        <v>28</v>
      </c>
      <c r="B76">
        <v>96</v>
      </c>
      <c r="C76">
        <v>25</v>
      </c>
      <c r="D76" t="s">
        <v>11</v>
      </c>
      <c r="E76" t="s">
        <v>6</v>
      </c>
    </row>
    <row r="77" spans="1:5" x14ac:dyDescent="0.2">
      <c r="A77" t="s">
        <v>28</v>
      </c>
      <c r="B77">
        <v>67</v>
      </c>
      <c r="C77">
        <v>175</v>
      </c>
      <c r="D77" t="s">
        <v>17</v>
      </c>
      <c r="E77" t="s">
        <v>6</v>
      </c>
    </row>
    <row r="78" spans="1:5" x14ac:dyDescent="0.2">
      <c r="A78" t="s">
        <v>28</v>
      </c>
      <c r="B78">
        <v>6</v>
      </c>
      <c r="C78">
        <v>70</v>
      </c>
      <c r="D78" t="s">
        <v>16</v>
      </c>
      <c r="E78" t="s">
        <v>6</v>
      </c>
    </row>
    <row r="79" spans="1:5" x14ac:dyDescent="0.2">
      <c r="A79" t="s">
        <v>28</v>
      </c>
      <c r="B79">
        <v>0</v>
      </c>
      <c r="C79">
        <v>25</v>
      </c>
      <c r="D79" t="s">
        <v>12</v>
      </c>
      <c r="E79" t="s">
        <v>6</v>
      </c>
    </row>
    <row r="80" spans="1:5" x14ac:dyDescent="0.2">
      <c r="A80" t="s">
        <v>29</v>
      </c>
      <c r="B80">
        <v>1200</v>
      </c>
      <c r="C80">
        <v>1000</v>
      </c>
      <c r="D80" t="s">
        <v>4</v>
      </c>
      <c r="E80" t="s">
        <v>6</v>
      </c>
    </row>
    <row r="81" spans="1:5" x14ac:dyDescent="0.2">
      <c r="A81" t="s">
        <v>29</v>
      </c>
      <c r="B81">
        <v>900</v>
      </c>
      <c r="C81">
        <v>25</v>
      </c>
      <c r="D81" t="s">
        <v>9</v>
      </c>
      <c r="E81" t="s">
        <v>7</v>
      </c>
    </row>
    <row r="82" spans="1:5" x14ac:dyDescent="0.2">
      <c r="A82" t="s">
        <v>29</v>
      </c>
      <c r="B82" s="2">
        <v>542</v>
      </c>
      <c r="C82" s="2">
        <f>C81+((10-7)*39)</f>
        <v>142</v>
      </c>
      <c r="D82" s="2" t="s">
        <v>10</v>
      </c>
      <c r="E82" s="2" t="s">
        <v>18</v>
      </c>
    </row>
    <row r="83" spans="1:5" x14ac:dyDescent="0.2">
      <c r="A83" t="s">
        <v>29</v>
      </c>
      <c r="B83">
        <v>388</v>
      </c>
      <c r="C83">
        <f>C82+((10)*35)</f>
        <v>492</v>
      </c>
      <c r="D83" t="s">
        <v>8</v>
      </c>
      <c r="E83" t="s">
        <v>13</v>
      </c>
    </row>
    <row r="84" spans="1:5" x14ac:dyDescent="0.2">
      <c r="A84" t="s">
        <v>29</v>
      </c>
      <c r="B84">
        <v>323</v>
      </c>
      <c r="C84">
        <v>25</v>
      </c>
      <c r="D84" t="s">
        <v>15</v>
      </c>
      <c r="E84" t="s">
        <v>7</v>
      </c>
    </row>
    <row r="85" spans="1:5" x14ac:dyDescent="0.2">
      <c r="A85" t="s">
        <v>29</v>
      </c>
      <c r="B85">
        <v>275</v>
      </c>
      <c r="C85">
        <f>((10-7)*32)+C84</f>
        <v>121</v>
      </c>
      <c r="D85" t="s">
        <v>14</v>
      </c>
      <c r="E85" t="s">
        <v>13</v>
      </c>
    </row>
    <row r="86" spans="1:5" x14ac:dyDescent="0.2">
      <c r="A86" t="s">
        <v>29</v>
      </c>
      <c r="B86">
        <v>145</v>
      </c>
      <c r="C86">
        <f>C85</f>
        <v>121</v>
      </c>
      <c r="D86" t="s">
        <v>20</v>
      </c>
      <c r="E86" t="s">
        <v>13</v>
      </c>
    </row>
    <row r="87" spans="1:5" x14ac:dyDescent="0.2">
      <c r="A87" t="s">
        <v>29</v>
      </c>
      <c r="B87">
        <v>96</v>
      </c>
      <c r="C87">
        <v>25</v>
      </c>
      <c r="D87" t="s">
        <v>11</v>
      </c>
      <c r="E87" t="s">
        <v>6</v>
      </c>
    </row>
    <row r="88" spans="1:5" x14ac:dyDescent="0.2">
      <c r="A88" t="s">
        <v>29</v>
      </c>
      <c r="B88">
        <v>67</v>
      </c>
      <c r="C88">
        <v>175</v>
      </c>
      <c r="D88" t="s">
        <v>17</v>
      </c>
      <c r="E88" t="s">
        <v>6</v>
      </c>
    </row>
    <row r="89" spans="1:5" x14ac:dyDescent="0.2">
      <c r="A89" t="s">
        <v>29</v>
      </c>
      <c r="B89">
        <v>6</v>
      </c>
      <c r="C89">
        <v>70</v>
      </c>
      <c r="D89" t="s">
        <v>16</v>
      </c>
      <c r="E89" t="s">
        <v>6</v>
      </c>
    </row>
    <row r="90" spans="1:5" x14ac:dyDescent="0.2">
      <c r="A90" t="s">
        <v>29</v>
      </c>
      <c r="B90">
        <v>0</v>
      </c>
      <c r="C90">
        <v>25</v>
      </c>
      <c r="D90" t="s">
        <v>12</v>
      </c>
      <c r="E90" t="s">
        <v>6</v>
      </c>
    </row>
    <row r="91" spans="1:5" x14ac:dyDescent="0.2">
      <c r="A91" t="s">
        <v>30</v>
      </c>
      <c r="B91">
        <v>1200</v>
      </c>
      <c r="C91">
        <v>1000</v>
      </c>
      <c r="D91" t="s">
        <v>4</v>
      </c>
      <c r="E91" t="s">
        <v>6</v>
      </c>
    </row>
    <row r="92" spans="1:5" x14ac:dyDescent="0.2">
      <c r="A92" t="s">
        <v>30</v>
      </c>
      <c r="B92">
        <v>900</v>
      </c>
      <c r="C92">
        <v>25</v>
      </c>
      <c r="D92" t="s">
        <v>9</v>
      </c>
      <c r="E92" t="s">
        <v>7</v>
      </c>
    </row>
    <row r="93" spans="1:5" x14ac:dyDescent="0.2">
      <c r="A93" t="s">
        <v>30</v>
      </c>
      <c r="B93" s="2">
        <v>542</v>
      </c>
      <c r="C93" s="2">
        <f>C92+((14-7)*39)</f>
        <v>298</v>
      </c>
      <c r="D93" s="2" t="s">
        <v>10</v>
      </c>
      <c r="E93" s="2" t="s">
        <v>18</v>
      </c>
    </row>
    <row r="94" spans="1:5" x14ac:dyDescent="0.2">
      <c r="A94" t="s">
        <v>30</v>
      </c>
      <c r="B94">
        <v>388</v>
      </c>
      <c r="C94">
        <f>C93+((14)*35)</f>
        <v>788</v>
      </c>
      <c r="D94" t="s">
        <v>8</v>
      </c>
      <c r="E94" t="s">
        <v>13</v>
      </c>
    </row>
    <row r="95" spans="1:5" x14ac:dyDescent="0.2">
      <c r="A95" t="s">
        <v>30</v>
      </c>
      <c r="B95">
        <v>323</v>
      </c>
      <c r="C95">
        <f>25</f>
        <v>25</v>
      </c>
      <c r="D95" t="s">
        <v>15</v>
      </c>
      <c r="E95" t="s">
        <v>7</v>
      </c>
    </row>
    <row r="96" spans="1:5" x14ac:dyDescent="0.2">
      <c r="A96" t="s">
        <v>30</v>
      </c>
      <c r="B96">
        <v>275</v>
      </c>
      <c r="C96">
        <f>((14-7)*32)+C95</f>
        <v>249</v>
      </c>
      <c r="D96" t="s">
        <v>14</v>
      </c>
      <c r="E96" t="s">
        <v>13</v>
      </c>
    </row>
    <row r="97" spans="1:5" x14ac:dyDescent="0.2">
      <c r="A97" t="s">
        <v>30</v>
      </c>
      <c r="B97">
        <v>145</v>
      </c>
      <c r="C97">
        <f>C96</f>
        <v>249</v>
      </c>
      <c r="D97" t="s">
        <v>20</v>
      </c>
      <c r="E97" t="s">
        <v>13</v>
      </c>
    </row>
    <row r="98" spans="1:5" x14ac:dyDescent="0.2">
      <c r="A98" t="s">
        <v>30</v>
      </c>
      <c r="B98">
        <v>96</v>
      </c>
      <c r="C98">
        <v>25</v>
      </c>
      <c r="D98" t="s">
        <v>11</v>
      </c>
      <c r="E98" t="s">
        <v>6</v>
      </c>
    </row>
    <row r="99" spans="1:5" x14ac:dyDescent="0.2">
      <c r="A99" t="s">
        <v>30</v>
      </c>
      <c r="B99">
        <v>67</v>
      </c>
      <c r="C99">
        <v>175</v>
      </c>
      <c r="D99" t="s">
        <v>17</v>
      </c>
      <c r="E99" t="s">
        <v>6</v>
      </c>
    </row>
    <row r="100" spans="1:5" x14ac:dyDescent="0.2">
      <c r="A100" t="s">
        <v>30</v>
      </c>
      <c r="B100">
        <v>6</v>
      </c>
      <c r="C100">
        <v>70</v>
      </c>
      <c r="D100" t="s">
        <v>16</v>
      </c>
      <c r="E100" t="s">
        <v>6</v>
      </c>
    </row>
    <row r="101" spans="1:5" x14ac:dyDescent="0.2">
      <c r="A101" t="s">
        <v>30</v>
      </c>
      <c r="B101">
        <v>0</v>
      </c>
      <c r="C101">
        <v>25</v>
      </c>
      <c r="D101" t="s">
        <v>12</v>
      </c>
      <c r="E10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Peak</dc:creator>
  <cp:lastModifiedBy>Barra Peak</cp:lastModifiedBy>
  <dcterms:created xsi:type="dcterms:W3CDTF">2025-01-07T16:02:11Z</dcterms:created>
  <dcterms:modified xsi:type="dcterms:W3CDTF">2026-01-28T16:45:23Z</dcterms:modified>
</cp:coreProperties>
</file>